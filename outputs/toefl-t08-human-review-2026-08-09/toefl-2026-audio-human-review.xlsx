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63d4969e1e430f" /></Relationships>
</file>

<file path=xl/workbook.xml><?xml version="1.0" encoding="utf-8"?>
<x:workbook xmlns:x="http://schemas.openxmlformats.org/spreadsheetml/2006/main">
  <x:sheets>
    <x:sheet xmlns:r="http://schemas.openxmlformats.org/officeDocument/2006/relationships" name="Resumen" sheetId="1" r:id="Rfa3ef0bcc6e8402f"/>
    <x:sheet xmlns:r="http://schemas.openxmlformats.org/officeDocument/2006/relationships" name="Calibración" sheetId="2" r:id="Rab409c2f47004b35"/>
    <x:sheet xmlns:r="http://schemas.openxmlformats.org/officeDocument/2006/relationships" name="Cola humana" sheetId="3" r:id="R4e5b419d87914931"/>
    <x:sheet xmlns:r="http://schemas.openxmlformats.org/officeDocument/2006/relationships" name="Reglas" sheetId="4" r:id="R7791f0cba8a645c9"/>
    <x:sheet xmlns:r="http://schemas.openxmlformats.org/officeDocument/2006/relationships" name="Listas" sheetId="5" r:id="Rf1579c34e5a44b2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hh:mm"/>
    <x:numFmt numFmtId="202" formatCode="0"/>
  </x:numFmts>
  <x:fonts count="10">
    <x:font>
      <x:sz val="11"/>
      <x:name val="Carlito"/>
    </x:font>
    <x:font>
      <x:b/>
      <x:sz val="10"/>
      <x:color rgb="FFFFFFFF"/>
      <x:name val="Carlito"/>
    </x:font>
    <x:font>
      <x:sz val="9"/>
      <x:color rgb="FF1F2937"/>
      <x:name val="Aptos"/>
    </x:font>
    <x:font>
      <x:sz val="9"/>
      <x:name val="Aptos"/>
    </x:font>
    <x:font>
      <x:b/>
      <x:sz val="18"/>
      <x:color rgb="FFFFFFFF"/>
      <x:name val="Carlito"/>
    </x:font>
    <x:font>
      <x:b/>
      <x:sz val="12"/>
      <x:color rgb="FFFFFFFF"/>
      <x:name val="Carlito"/>
    </x:font>
    <x:font>
      <x:b/>
      <x:sz val="10"/>
      <x:color rgb="FF1F2937"/>
      <x:name val="Aptos"/>
    </x:font>
    <x:font>
      <x:sz val="10"/>
      <x:color rgb="FF1F2937"/>
      <x:name val="Aptos"/>
    </x:font>
    <x:font>
      <x:b/>
      <x:sz val="16"/>
      <x:color rgb="FFFFFFFF"/>
      <x:name val="Carlito"/>
    </x:font>
    <x:font>
      <x:sz val="10"/>
      <x:name val="Aptos"/>
    </x:font>
  </x:fonts>
  <x:fills count="11">
    <x:fill>
      <x:patternFill patternType="none"/>
    </x:fill>
    <x:fill>
      <x:patternFill patternType="gray125"/>
    </x:fill>
    <x:fill>
      <x:patternFill patternType="solid">
        <x:fgColor rgb="FF0B1F3A"/>
      </x:patternFill>
    </x:fill>
    <x:fill>
      <x:patternFill patternType="solid">
        <x:fgColor rgb="FFF8FAFC"/>
      </x:patternFill>
    </x:fill>
    <x:fill>
      <x:patternFill patternType="solid">
        <x:fgColor rgb="FFFFF7D6"/>
      </x:patternFill>
    </x:fill>
    <x:fill>
      <x:patternFill patternType="solid">
        <x:fgColor rgb="FFFEE2E2"/>
      </x:patternFill>
    </x:fill>
    <x:fill>
      <x:patternFill patternType="solid">
        <x:fgColor rgb="FFEEF2F7"/>
      </x:patternFill>
    </x:fill>
    <x:fill>
      <x:patternFill patternType="solid">
        <x:fgColor rgb="FF0F766E"/>
      </x:patternFill>
    </x:fill>
    <x:fill>
      <x:patternFill patternType="solid">
        <x:fgColor rgb="FFEFF6FF"/>
      </x:patternFill>
    </x:fill>
    <x:fill>
      <x:patternFill patternType="solid">
        <x:fgColor rgb="FFF0FDFA"/>
      </x:patternFill>
    </x:fill>
    <x:fill>
      <x:patternFill patternType="solid">
        <x:fgColor rgb="FFFFF7ED"/>
      </x:patternFill>
    </x:fill>
  </x:fills>
  <x:borders count="4">
    <x:border/>
    <x:border>
      <x:left style="medium">
        <x:color rgb="FF0B1F3A"/>
      </x:left>
      <x:top style="medium">
        <x:color rgb="FF0B1F3A"/>
      </x:top>
      <x:bottom style="medium">
        <x:color rgb="FF0B1F3A"/>
      </x:bottom>
    </x:border>
    <x:border>
      <x:top style="medium">
        <x:color rgb="FF0B1F3A"/>
      </x:top>
      <x:bottom style="medium">
        <x:color rgb="FF0B1F3A"/>
      </x:bottom>
    </x:border>
    <x:border>
      <x:right style="medium">
        <x:color rgb="FF0B1F3A"/>
      </x:right>
      <x:top style="medium">
        <x:color rgb="FF0B1F3A"/>
      </x:top>
      <x:bottom style="medium">
        <x:color rgb="FF0B1F3A"/>
      </x:bottom>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1" fontId="2" fillId="4"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7" borderId="0" xfId="0" applyNumberFormat="1" applyFont="1" applyFill="1" applyBorder="1"/>
    <x:xf numFmtId="0" fontId="5" fillId="7" borderId="0" xfId="0" applyNumberFormat="1" applyFont="1" applyFill="1" applyBorder="1"/>
    <x:xf numFmtId="0" fontId="6" fillId="2" borderId="1" xfId="0" applyNumberFormat="1" applyFont="1" applyFill="1" applyBorder="1" applyAlignment="1">
      <x:alignment vertical="center" wrapText="1"/>
    </x:xf>
    <x:xf numFmtId="0" fontId="6" fillId="2" borderId="3" xfId="0" applyNumberFormat="1" applyFont="1" applyFill="1" applyBorder="1" applyAlignment="1">
      <x:alignment vertical="center" wrapText="1"/>
    </x:xf>
    <x:xf numFmtId="0" fontId="7" fillId="0" borderId="0" xfId="0" applyNumberFormat="1" applyFont="1" applyFill="1" applyBorder="1"/>
    <x:xf numFmtId="0" fontId="6" fillId="7" borderId="0" xfId="0" applyNumberFormat="1" applyFont="1" applyFill="1" applyBorder="1"/>
    <x:xf numFmtId="0" fontId="7" fillId="8" borderId="0" xfId="0" applyNumberFormat="1" applyFont="1" applyFill="1" applyBorder="1"/>
    <x:xf numFmtId="0" fontId="7" fillId="9" borderId="0" xfId="0" applyNumberFormat="1" applyFont="1" applyFill="1" applyBorder="1"/>
    <x:xf numFmtId="0" fontId="7" fillId="10" borderId="0" xfId="0" applyNumberFormat="1" applyFont="1" applyFill="1" applyBorder="1"/>
    <x:xf numFmtId="202" fontId="7" fillId="8" borderId="0" xfId="0" applyNumberFormat="1" applyFont="1" applyFill="1" applyBorder="1"/>
    <x:xf numFmtId="202" fontId="7" fillId="9"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0" fillId="3" borderId="0" xfId="0" applyNumberFormat="1" applyFont="1" applyFill="1" applyBorder="1"/>
    <x:xf numFmtId="0" fontId="9" fillId="3" borderId="0" xfId="0" applyNumberFormat="1" applyFont="1" applyFill="1" applyBorder="1"/>
  </x:cellXfs>
  <x:cellStyles count="1">
    <x:cellStyle name="Normal" xfId="0"/>
  </x:cellStyles>
  <x:dxfs count="12">
    <x:dxf>
      <x:font>
        <x:b/>
        <x:color rgb="FF991B1B"/>
      </x:font>
      <x:fill>
        <x:patternFill patternType="solid">
          <x:bgColor rgb="FFFECACA"/>
        </x:patternFill>
      </x:fill>
    </x:dxf>
    <x:dxf>
      <x:font>
        <x:b/>
        <x:color rgb="FF9A3412"/>
      </x:font>
      <x:fill>
        <x:patternFill patternType="solid">
          <x:bgColor rgb="FFFED7AA"/>
        </x:patternFill>
      </x:fill>
    </x:dxf>
    <x:dxf>
      <x:font>
        <x:b/>
        <x:color rgb="FF1E40AF"/>
      </x:font>
      <x:fill>
        <x:patternFill patternType="solid">
          <x:bgColor rgb="FFDBEAFE"/>
        </x:patternFill>
      </x:fill>
    </x:dxf>
    <x:dxf>
      <x:font>
        <x:b/>
        <x:color rgb="FF166534"/>
      </x:font>
      <x:fill>
        <x:patternFill patternType="solid">
          <x:bgColor rgb="FFDCFCE7"/>
        </x:patternFill>
      </x:fill>
    </x:dxf>
    <x:dxf>
      <x:font>
        <x:b/>
        <x:color rgb="FF991B1B"/>
      </x:font>
      <x:fill>
        <x:patternFill patternType="solid">
          <x:bgColor rgb="FFFEE2E2"/>
        </x:patternFill>
      </x:fill>
    </x:dxf>
    <x:dxf>
      <x:font>
        <x:color rgb="FF166534"/>
      </x:font>
      <x:fill>
        <x:patternFill patternType="solid">
          <x:bgColor rgb="FFDCFCE7"/>
        </x:patternFill>
      </x:fill>
    </x:dxf>
    <x:dxf>
      <x:font>
        <x:b/>
        <x:color rgb="FF991B1B"/>
      </x:font>
      <x:fill>
        <x:patternFill patternType="solid">
          <x:bgColor rgb="FFFECACA"/>
        </x:patternFill>
      </x:fill>
    </x:dxf>
    <x:dxf>
      <x:font>
        <x:b/>
        <x:color rgb="FF991B1B"/>
      </x:font>
      <x:fill>
        <x:patternFill patternType="solid">
          <x:bgColor rgb="FFFECACA"/>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0f8532977d410c" /><Relationship Type="http://schemas.openxmlformats.org/officeDocument/2006/relationships/theme" Target="/xl/theme/theme1.xml" Id="R377cc110f99646e5" /><Relationship Type="http://schemas.openxmlformats.org/officeDocument/2006/relationships/sharedStrings" Target="/xl/sharedStrings.xml" Id="Rbe2864e31baa45b0" /><Relationship Type="http://schemas.openxmlformats.org/officeDocument/2006/relationships/worksheet" Target="/xl/worksheets/sheet1.xml" Id="Rfa3ef0bcc6e8402f" /><Relationship Type="http://schemas.openxmlformats.org/officeDocument/2006/relationships/worksheet" Target="/xl/worksheets/sheet2.xml" Id="Rab409c2f47004b35" /><Relationship Type="http://schemas.openxmlformats.org/officeDocument/2006/relationships/worksheet" Target="/xl/worksheets/sheet3.xml" Id="R4e5b419d87914931" /><Relationship Type="http://schemas.openxmlformats.org/officeDocument/2006/relationships/worksheet" Target="/xl/worksheets/sheet4.xml" Id="R7791f0cba8a645c9" /><Relationship Type="http://schemas.openxmlformats.org/officeDocument/2006/relationships/worksheet" Target="/xl/worksheets/sheet5.xml" Id="Rf1579c34e5a44b2c" /></Relationships>
</file>

<file path=xl/tables/table1.xml><?xml version="1.0" encoding="utf-8"?>
<x:table xmlns:x="http://schemas.openxmlformats.org/spreadsheetml/2006/main" id="1" name="HumanReviewQueue" displayName="HumanReviewQueue" ref="A1:BA261" headerRowCount="1" totalsRowCount="0" totalsRowShown="0">
  <x:autoFilter ref="A1:BA261"/>
  <x:tableColumns count="53">
    <x:tableColumn id="1" name="audit_order"/>
    <x:tableColumn id="2" name="batch_id"/>
    <x:tableColumn id="3" name="calibration"/>
    <x:tableColumn id="4" name="asset_id"/>
    <x:tableColumn id="5" name="set_id"/>
    <x:tableColumn id="6" name="task_type"/>
    <x:tableColumn id="7" name="audio_path"/>
    <x:tableColumn id="8" name="duration_sec"/>
    <x:tableColumn id="9" name="priority"/>
    <x:tableColumn id="10" name="review_scope"/>
    <x:tableColumn id="11" name="technical_status"/>
    <x:tableColumn id="12" name="technical_fail_findings"/>
    <x:tableColumn id="13" name="technical_warning_findings"/>
    <x:tableColumn id="14" name="technical_action"/>
    <x:tableColumn id="15" name="reconciliation_status"/>
    <x:tableColumn id="16" name="T07_queue_reasons"/>
    <x:tableColumn id="17" name="source_candidate"/>
    <x:tableColumn id="18" name="asr_candidate"/>
    <x:tableColumn id="19" name="diff_summary"/>
    <x:tableColumn id="20" name="question_key_status"/>
    <x:tableColumn id="21" name="linguistic_candidate"/>
    <x:tableColumn id="22" name="listen_status"/>
    <x:tableColumn id="23" name="listen_count"/>
    <x:tableColumn id="24" name="transcript_decision"/>
    <x:tableColumn id="25" name="canonical_transcript"/>
    <x:tableColumn id="26" name="clarity"/>
    <x:tableColumn id="27" name="naturalness"/>
    <x:tableColumn id="28" name="prosody"/>
    <x:tableColumn id="29" name="pronunciation"/>
    <x:tableColumn id="30" name="speed_pauses"/>
    <x:tableColumn id="31" name="voice_consistency"/>
    <x:tableColumn id="32" name="synthetic_artifacts"/>
    <x:tableColumn id="33" name="semantic_cut"/>
    <x:tableColumn id="34" name="difficulty_fit"/>
    <x:tableColumn id="35" name="task_fit"/>
    <x:tableColumn id="36" name="accent_intelligibility"/>
    <x:tableColumn id="37" name="bias_stereotype"/>
    <x:tableColumn id="38" name="rights_observation"/>
    <x:tableColumn id="39" name="human_finding_ids"/>
    <x:tableColumn id="40" name="reuse_class"/>
    <x:tableColumn id="41" name="human_decision"/>
    <x:tableColumn id="42" name="justification"/>
    <x:tableColumn id="43" name="reviewer_name"/>
    <x:tableColumn id="44" name="reviewer_role"/>
    <x:tableColumn id="45" name="reviewer_attestation"/>
    <x:tableColumn id="46" name="reviewed_at"/>
    <x:tableColumn id="47" name="second_reviewer"/>
    <x:tableColumn id="48" name="second_review_decision"/>
    <x:tableColumn id="49" name="adjudication_status"/>
    <x:tableColumn id="50" name="release_status"/>
    <x:tableColumn id="51" name="second_review_required"/>
    <x:tableColumn id="52" name="row_complete"/>
    <x:tableColumn id="53" name="validation_errors"/>
  </x:tableColumns>
  <x:tableStyleInfo name="TableStyleMedium2" showFirstColumn="0" showLastColumn="0" showRowStripes="1" showColumnStripes="0"/>
</x:table>
</file>

<file path=xl/tables/table2.xml><?xml version="1.0" encoding="utf-8"?>
<x:table xmlns:x="http://schemas.openxmlformats.org/spreadsheetml/2006/main" id="2" name="HumanReviewRules" displayName="HumanReviewRules" ref="A4:E24" headerRowCount="1" totalsRowCount="0" totalsRowShown="0">
  <x:tableColumns count="5">
    <x:tableColumn id="1" name="rule_id"/>
    <x:tableColumn id="2" name="dimensión"/>
    <x:tableColumn id="3" name="regla"/>
    <x:tableColumn id="4" name="evidencia requerida"/>
    <x:tableColumn id="5" name="stop/acc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f053b35a1d5411b" /></Relationships>
</file>

<file path=xl/worksheets/_rels/sheet4.xml.rels>&#65279;<?xml version="1.0" encoding="utf-8"?><Relationships xmlns="http://schemas.openxmlformats.org/package/2006/relationships"><Relationship Type="http://schemas.openxmlformats.org/officeDocument/2006/relationships/table" Target="/xl/tables/table2.xml" Id="R7d3dafacf39e4325"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20" hidden="0" customWidth="1"/>
    <x:col min="3" max="3" width="18" hidden="0" customWidth="1"/>
    <x:col min="4" max="4" width="32" hidden="0" customWidth="1"/>
    <x:col min="5" max="5" width="18" hidden="0" customWidth="1"/>
    <x:col min="6" max="6" width="18" hidden="0" customWidth="1"/>
    <x:col min="7" max="7" width="27" hidden="0" customWidth="1"/>
    <x:col min="8" max="8" width="40" hidden="0" customWidth="1"/>
  </x:cols>
  <x:sheetData>
    <x:row r="1">
      <x:c r="A1" s="26" t="str">
        <x:v>TOEFL iBT 2026 — T08 Auditoría humana de audio</x:v>
      </x:c>
      <x:c r="B1" s="26" t="str">
        <x:v>TOEFL iBT 2026 — T08 Auditoría humana de audio</x:v>
      </x:c>
      <x:c r="C1" s="26" t="str">
        <x:v>TOEFL iBT 2026 — T08 Auditoría humana de audio</x:v>
      </x:c>
      <x:c r="D1" s="26" t="str">
        <x:v>TOEFL iBT 2026 — T08 Auditoría humana de audio</x:v>
      </x:c>
      <x:c r="E1" s="26" t="str">
        <x:v>TOEFL iBT 2026 — T08 Auditoría humana de audio</x:v>
      </x:c>
      <x:c r="F1" s="26" t="str">
        <x:v>TOEFL iBT 2026 — T08 Auditoría humana de audio</x:v>
      </x:c>
      <x:c r="G1" s="26" t="str">
        <x:v>TOEFL iBT 2026 — T08 Auditoría humana de audio</x:v>
      </x:c>
      <x:c r="H1" s="26" t="str">
        <x:v>TOEFL iBT 2026 — T08 Auditoría humana de audio</x:v>
      </x:c>
    </x:row>
    <x:row r="2">
      <x:c r="A2" s="26" t="str">
        <x:v>TOEFL iBT 2026 — T08 Auditoría humana de audio</x:v>
      </x:c>
      <x:c r="B2" s="26" t="str">
        <x:v>TOEFL iBT 2026 — T08 Auditoría humana de audio</x:v>
      </x:c>
      <x:c r="C2" s="26" t="str">
        <x:v>TOEFL iBT 2026 — T08 Auditoría humana de audio</x:v>
      </x:c>
      <x:c r="D2" s="26" t="str">
        <x:v>TOEFL iBT 2026 — T08 Auditoría humana de audio</x:v>
      </x:c>
      <x:c r="E2" s="26" t="str">
        <x:v>TOEFL iBT 2026 — T08 Auditoría humana de audio</x:v>
      </x:c>
      <x:c r="F2" s="26" t="str">
        <x:v>TOEFL iBT 2026 — T08 Auditoría humana de audio</x:v>
      </x:c>
      <x:c r="G2" s="26" t="str">
        <x:v>TOEFL iBT 2026 — T08 Auditoría humana de audio</x:v>
      </x:c>
      <x:c r="H2" s="26" t="str">
        <x:v>TOEFL iBT 2026 — T08 Auditoría humana de audio</x:v>
      </x:c>
    </x:row>
    <x:row r="4">
      <x:c r="A4" s="29" t="str">
        <x:v>Cobertura</x:v>
      </x:c>
      <x:c r="B4" s="30" t="str">
        <x:v>Valor</x:v>
      </x:c>
      <x:c r="C4" s="31"/>
      <x:c r="D4" s="29" t="str">
        <x:v>Avance humano</x:v>
      </x:c>
      <x:c r="E4" s="30" t="str">
        <x:v>Valor</x:v>
      </x:c>
      <x:c r="F4" s="31"/>
      <x:c r="G4" s="29" t="str">
        <x:v>Control</x:v>
      </x:c>
      <x:c r="H4" s="30" t="str">
        <x:v>Estado</x:v>
      </x:c>
    </x:row>
    <x:row r="5">
      <x:c r="A5" s="33" t="str">
        <x:v>Assets totales</x:v>
      </x:c>
      <x:c r="B5" s="36" t="n">
        <x:f>COUNTA('Cola humana'!$D$2:$D$261)</x:f>
        <x:v>260</x:v>
      </x:c>
      <x:c r="C5" s="31"/>
      <x:c r="D5" s="34" t="str">
        <x:v>Escuchados</x:v>
      </x:c>
      <x:c r="E5" s="37" t="n">
        <x:f>COUNTIF('Cola humana'!$V$2:$V$261,"reviewed")</x:f>
        <x:v>0</x:v>
      </x:c>
      <x:c r="F5" s="31"/>
      <x:c r="G5" s="35" t="str">
        <x:v>Gate T08</x:v>
      </x:c>
      <x:c r="H5" s="35" t="str">
        <x:f>IF(AND(COUNTIF('Cola humana'!$AZ$2:$AZ$261,"complete")=260,COUNTIF('Cola humana'!$Y$2:$Y$261,"&lt;&gt;")=260,COUNTIF('Cola humana'!$AW$2:$AW$261,"&lt;&gt;adjudicated")=0),"T08_GATE_READY_FOR_FINAL_AUDIT","PENDIENTE_HUMANO")</x:f>
        <x:v>PENDIENTE_HUMANO</x:v>
      </x:c>
    </x:row>
    <x:row r="6">
      <x:c r="A6" s="33" t="str">
        <x:v>P1 obligatorios</x:v>
      </x:c>
      <x:c r="B6" s="36" t="n">
        <x:f>COUNTIF('Cola humana'!$I$2:$I$261,"P1")</x:f>
        <x:v>170</x:v>
      </x:c>
      <x:c r="C6" s="31"/>
      <x:c r="D6" s="34" t="str">
        <x:v>Filas completas</x:v>
      </x:c>
      <x:c r="E6" s="37" t="n">
        <x:f>COUNTIF('Cola humana'!$AZ$2:$AZ$261,"complete")</x:f>
        <x:v>0</x:v>
      </x:c>
      <x:c r="F6" s="31"/>
      <x:c r="G6" s="35" t="str">
        <x:v>Release</x:v>
      </x:c>
      <x:c r="H6" s="35" t="str">
        <x:v>blocked_not_validated</x:v>
      </x:c>
    </x:row>
    <x:row r="7">
      <x:c r="A7" s="33" t="str">
        <x:v>P2 obligatorios</x:v>
      </x:c>
      <x:c r="B7" s="36" t="n">
        <x:f>COUNTIF('Cola humana'!$I$2:$I$261,"P2")</x:f>
        <x:v>24</x:v>
      </x:c>
      <x:c r="C7" s="31"/>
      <x:c r="D7" s="34" t="str">
        <x:v>Canon adjudicado</x:v>
      </x:c>
      <x:c r="E7" s="37" t="n">
        <x:f>COUNTIF('Cola humana'!$Y$2:$Y$261,"&lt;&gt;")</x:f>
        <x:v>0</x:v>
      </x:c>
      <x:c r="F7" s="31"/>
      <x:c r="G7" s="35" t="str">
        <x:v>ASR</x:v>
      </x:c>
      <x:c r="H7" s="35" t="str">
        <x:v>detector_only_not_approval</x:v>
      </x:c>
    </x:row>
    <x:row r="8">
      <x:c r="A8" s="33" t="str">
        <x:v>P3 muestra fijada</x:v>
      </x:c>
      <x:c r="B8" s="36" t="n">
        <x:f>COUNTIF('Cola humana'!$I$2:$I$261,"P3")</x:f>
        <x:v>66</x:v>
      </x:c>
      <x:c r="C8" s="31"/>
      <x:c r="D8" s="34" t="str">
        <x:v>Segunda revisión requerida</x:v>
      </x:c>
      <x:c r="E8" s="37" t="n">
        <x:f>COUNTIF('Cola humana'!$AY$2:$AY$261,"yes")</x:f>
        <x:v>20</x:v>
      </x:c>
      <x:c r="F8" s="31"/>
      <x:c r="G8" s="35" t="str">
        <x:v>Originales MP3</x:v>
      </x:c>
      <x:c r="H8" s="35" t="str">
        <x:v>immutable_no_overwrite</x:v>
      </x:c>
    </x:row>
    <x:row r="9">
      <x:c r="A9" s="33" t="str">
        <x:v>Calibración doble</x:v>
      </x:c>
      <x:c r="B9" s="36" t="n">
        <x:f>COUNTIF('Cola humana'!$C$2:$C$261,"yes")</x:f>
        <x:v>20</x:v>
      </x:c>
      <x:c r="C9" s="31"/>
      <x:c r="D9" s="34" t="str">
        <x:v>Segunda revisión registrada</x:v>
      </x:c>
      <x:c r="E9" s="37" t="n">
        <x:f>COUNTIF('Cola humana'!$AV$2:$AV$261,"&lt;&gt;")</x:f>
        <x:v>0</x:v>
      </x:c>
      <x:c r="F9" s="31"/>
      <x:c r="G9" s="35" t="str">
        <x:v>Siguiente unidad</x:v>
      </x:c>
      <x:c r="H9" s="35" t="str">
        <x:v>T08 permanece abierta</x:v>
      </x:c>
    </x:row>
    <x:row r="10">
      <x:c r="A10" s="31"/>
      <x:c r="B10" s="31"/>
      <x:c r="C10" s="31"/>
      <x:c r="D10" s="34" t="str">
        <x:v>Disputados</x:v>
      </x:c>
      <x:c r="E10" s="37" t="n">
        <x:f>COUNTIF('Cola humana'!$AW$2:$AW$261,"disputed")</x:f>
        <x:v>0</x:v>
      </x:c>
      <x:c r="F10" s="31"/>
      <x:c r="G10" s="31"/>
      <x:c r="H10" s="31"/>
    </x:row>
    <x:row r="11">
      <x:c r="A11" s="31"/>
      <x:c r="B11" s="31"/>
      <x:c r="C11" s="31"/>
      <x:c r="D11" s="34" t="str">
        <x:v>Decisiones blocker/replace</x:v>
      </x:c>
      <x:c r="E11" s="37" t="n">
        <x:f>COUNTIF('Cola humana'!$AO$2:$AO$261,"block")+COUNTIF('Cola humana'!$AO$2:$AO$261,"replace")</x:f>
        <x:v>0</x:v>
      </x:c>
      <x:c r="F11" s="31"/>
      <x:c r="G11" s="31"/>
      <x:c r="H11" s="31"/>
    </x:row>
    <x:row r="12">
      <x:c r="A12" s="31"/>
      <x:c r="B12" s="31"/>
      <x:c r="C12" s="31"/>
      <x:c r="D12" s="31"/>
      <x:c r="E12" s="31"/>
      <x:c r="F12" s="31"/>
      <x:c r="G12" s="31"/>
      <x:c r="H12" s="31"/>
    </x:row>
    <x:row r="13">
      <x:c r="A13" s="32" t="str">
        <x:v>Cómo usar este libro</x:v>
      </x:c>
      <x:c r="B13" s="32" t="str">
        <x:v>Cómo usar este libro</x:v>
      </x:c>
      <x:c r="C13" s="32" t="str">
        <x:v>Cómo usar este libro</x:v>
      </x:c>
      <x:c r="D13" s="32" t="str">
        <x:v>Cómo usar este libro</x:v>
      </x:c>
      <x:c r="E13" s="32" t="str">
        <x:v>Cómo usar este libro</x:v>
      </x:c>
      <x:c r="F13" s="32" t="str">
        <x:v>Cómo usar este libro</x:v>
      </x:c>
      <x:c r="G13" s="32" t="str">
        <x:v>Cómo usar este libro</x:v>
      </x:c>
      <x:c r="H13" s="32" t="str">
        <x:v>Cómo usar este libro</x:v>
      </x:c>
    </x:row>
    <x:row r="14">
      <x:c r="A14" s="40" t="str">
        <x:v>1. Complete primero CAL-01 en la hoja Cola humana; la hoja Calibración es sólo una vista.</x:v>
      </x:c>
      <x:c r="B14" s="40"/>
      <x:c r="C14" s="40"/>
      <x:c r="D14" s="40"/>
      <x:c r="E14" s="40"/>
      <x:c r="F14" s="40"/>
      <x:c r="G14" s="40"/>
      <x:c r="H14" s="40"/>
    </x:row>
    <x:row r="15">
      <x:c r="A15" s="40" t="str">
        <x:v>2. Para abrir un MP3: copie Audio local, vaya a Finder, pulse ⌘⇧G, pegue la ruta y presione Enter.</x:v>
      </x:c>
      <x:c r="B15" s="40"/>
      <x:c r="C15" s="40"/>
      <x:c r="D15" s="40"/>
      <x:c r="E15" s="40"/>
      <x:c r="F15" s="40"/>
      <x:c r="G15" s="40"/>
      <x:c r="H15" s="40"/>
    </x:row>
    <x:row r="16">
      <x:c r="A16" s="40" t="str">
        <x:v>3. Escuche cada audio a velocidad 1× con audífonos. ASR y texto fuente son ayudas, no respuestas.</x:v>
      </x:c>
      <x:c r="B16" s="40"/>
      <x:c r="C16" s="40"/>
      <x:c r="D16" s="40"/>
      <x:c r="E16" s="40"/>
      <x:c r="F16" s="40"/>
      <x:c r="G16" s="40"/>
      <x:c r="H16" s="40"/>
    </x:row>
    <x:row r="17">
      <x:c r="A17" s="40" t="str">
        <x:v>4. Llene todos los campos amarillos; use 'none' cuando no haya finding.</x:v>
      </x:c>
      <x:c r="B17" s="40"/>
      <x:c r="C17" s="40"/>
      <x:c r="D17" s="40"/>
      <x:c r="E17" s="40"/>
      <x:c r="F17" s="40"/>
      <x:c r="G17" s="40"/>
      <x:c r="H17" s="40"/>
    </x:row>
    <x:row r="18">
      <x:c r="A18" s="40" t="str">
        <x:v>5. Los 20 CAL-01 requieren segundo revisor y adjudicación antes de abrir el resto del lote.</x:v>
      </x:c>
      <x:c r="B18" s="40"/>
      <x:c r="C18" s="40"/>
      <x:c r="D18" s="40"/>
      <x:c r="E18" s="40"/>
      <x:c r="F18" s="40"/>
      <x:c r="G18" s="40"/>
      <x:c r="H18" s="40"/>
    </x:row>
    <x:row r="19">
      <x:c r="A19" s="40" t="str">
        <x:v>6. Major/blocker, canon corregido o B/C/D exige segunda revisión; el libro no libera ni modifica audio.</x:v>
      </x:c>
      <x:c r="B19" s="40"/>
      <x:c r="C19" s="40"/>
      <x:c r="D19" s="40"/>
      <x:c r="E19" s="40"/>
      <x:c r="F19" s="40"/>
      <x:c r="G19" s="40"/>
      <x:c r="H19" s="40"/>
    </x:row>
    <x:row r="20">
      <x:c r="A20" s="31"/>
      <x:c r="B20" s="31"/>
      <x:c r="C20" s="31"/>
      <x:c r="D20" s="31"/>
      <x:c r="E20" s="31"/>
      <x:c r="F20" s="31"/>
      <x:c r="G20" s="31"/>
      <x:c r="H20" s="31"/>
    </x:row>
    <x:row r="21">
      <x:c r="A21" s="32" t="str">
        <x:v>Fuentes fijadas</x:v>
      </x:c>
      <x:c r="B21" s="32" t="str">
        <x:v>Fuentes fijadas</x:v>
      </x:c>
      <x:c r="C21" s="32" t="str">
        <x:v>Fuentes fijadas</x:v>
      </x:c>
      <x:c r="D21" s="32" t="str">
        <x:v>Fuentes fijadas</x:v>
      </x:c>
      <x:c r="E21" s="32" t="str">
        <x:v>Fuentes fijadas</x:v>
      </x:c>
      <x:c r="F21" s="32" t="str">
        <x:v>Fuentes fijadas</x:v>
      </x:c>
      <x:c r="G21" s="32" t="str">
        <x:v>Fuentes fijadas</x:v>
      </x:c>
      <x:c r="H21" s="32" t="str">
        <x:v>Fuentes fijadas</x:v>
      </x:c>
    </x:row>
    <x:row r="22" ht="28" customHeight="1">
      <x:c r="A22" s="40" t="str">
        <x:v>T07 matriz</x:v>
      </x:c>
      <x:c r="B22" s="40" t="str">
        <x:v>/Users/josedavidduartesilva/Developer/idiomaswl/docs/toefl-2026-audio-linguistic-audit-2026-08-09.tsv</x:v>
      </x:c>
      <x:c r="C22" s="40"/>
      <x:c r="D22" s="40"/>
      <x:c r="E22" s="40"/>
      <x:c r="F22" s="40"/>
      <x:c r="G22" s="40"/>
      <x:c r="H22" s="40"/>
    </x:row>
    <x:row r="23" ht="28" customHeight="1">
      <x:c r="A23" s="40" t="str">
        <x:v>T07 SHA-256</x:v>
      </x:c>
      <x:c r="B23" s="40" t="str">
        <x:v>be14fa0baa96a8fc6fc25cd07198913f4035e88c26945647f1e950c17330eaaf</x:v>
      </x:c>
      <x:c r="C23" s="40"/>
      <x:c r="D23" s="40"/>
      <x:c r="E23" s="40"/>
      <x:c r="F23" s="40"/>
      <x:c r="G23" s="40"/>
      <x:c r="H23" s="40"/>
    </x:row>
    <x:row r="24" ht="28" customHeight="1">
      <x:c r="A24" s="40" t="str">
        <x:v>T06 matriz</x:v>
      </x:c>
      <x:c r="B24" s="40" t="str">
        <x:v>/Users/josedavidduartesilva/Developer/idiomaswl/docs/toefl-2026-audio-technical-audit-2026-08-09.tsv</x:v>
      </x:c>
      <x:c r="C24" s="40"/>
      <x:c r="D24" s="40"/>
      <x:c r="E24" s="40"/>
      <x:c r="F24" s="40"/>
      <x:c r="G24" s="40"/>
      <x:c r="H24" s="40"/>
    </x:row>
    <x:row r="25" ht="28" customHeight="1">
      <x:c r="A25" s="40" t="str">
        <x:v>T06 SHA-256</x:v>
      </x:c>
      <x:c r="B25" s="40" t="str">
        <x:v>21c15c0f8eaa63b17ab5d17f74e9aa8678da51ca00624bae6887ab922419653f</x:v>
      </x:c>
      <x:c r="C25" s="40"/>
      <x:c r="D25" s="40"/>
      <x:c r="E25" s="40"/>
      <x:c r="F25" s="40"/>
      <x:c r="G25" s="40"/>
      <x:c r="H25" s="40"/>
    </x:row>
  </x:sheetData>
  <x:mergeCells>
    <x:mergeCell ref="A1:H2"/>
    <x:mergeCell ref="A13:H13"/>
    <x:mergeCell ref="A14:H14"/>
    <x:mergeCell ref="A15:H15"/>
    <x:mergeCell ref="A16:H16"/>
    <x:mergeCell ref="A17:H17"/>
    <x:mergeCell ref="A18:H18"/>
    <x:mergeCell ref="A19:H19"/>
    <x:mergeCell ref="A21:H21"/>
    <x:mergeCell ref="B22:H22"/>
    <x:mergeCell ref="B23:H23"/>
    <x:mergeCell ref="B24:H24"/>
    <x:mergeCell ref="B25:H25"/>
  </x:mergeCells>
  <x:conditionalFormatting sqref="H5:H5">
    <x:cfRule type="containsText" dxfId="10" priority="1" operator="containsText" text="PENDIENTE"/>
    <x:cfRule type="containsText" dxfId="11" priority="2" operator="containsText" text="READY"/>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43" hidden="0" customWidth="1"/>
    <x:col min="3" max="3" width="29" hidden="0" customWidth="1"/>
    <x:col min="4" max="4" width="10" hidden="0" customWidth="1"/>
    <x:col min="5" max="5" width="58" hidden="0" customWidth="1"/>
    <x:col min="6" max="6" width="44" hidden="0" customWidth="1"/>
    <x:col min="7" max="7" width="60" hidden="0" customWidth="1"/>
    <x:col min="8" max="8" width="60" hidden="0" customWidth="1"/>
    <x:col min="9" max="9" width="15" hidden="0" customWidth="1"/>
    <x:col min="10" max="10" width="16" hidden="0" customWidth="1"/>
    <x:col min="11" max="11" width="20" hidden="0" customWidth="1"/>
    <x:col min="12" max="12" width="20" hidden="0" customWidth="1"/>
    <x:col min="13" max="13" width="18" hidden="0" customWidth="1"/>
    <x:col min="14" max="14" width="20" hidden="0" customWidth="1"/>
  </x:cols>
  <x:sheetData>
    <x:row r="1">
      <x:c r="A1" s="9" t="str">
        <x:v>Orden</x:v>
      </x:c>
      <x:c r="B1" s="10" t="str">
        <x:v>Asset</x:v>
      </x:c>
      <x:c r="C1" s="10" t="str">
        <x:v>Tarea</x:v>
      </x:c>
      <x:c r="D1" s="10" t="str">
        <x:v>Prioridad</x:v>
      </x:c>
      <x:c r="E1" s="10" t="str">
        <x:v>Audio local</x:v>
      </x:c>
      <x:c r="F1" s="10" t="str">
        <x:v>Riesgos T06/T07</x:v>
      </x:c>
      <x:c r="G1" s="10" t="str">
        <x:v>Texto fuente</x:v>
      </x:c>
      <x:c r="H1" s="10" t="str">
        <x:v>Hipótesis ASR</x:v>
      </x:c>
      <x:c r="I1" s="10" t="str">
        <x:v>Estado escucha</x:v>
      </x:c>
      <x:c r="J1" s="10" t="str">
        <x:v>Fila completa</x:v>
      </x:c>
      <x:c r="K1" s="10" t="str">
        <x:v>Decisión humana</x:v>
      </x:c>
      <x:c r="L1" s="10" t="str">
        <x:v>Revisor</x:v>
      </x:c>
      <x:c r="M1" s="10" t="str">
        <x:v>Segunda revisión</x:v>
      </x:c>
      <x:c r="N1" s="11" t="str">
        <x:v>Adjudicación</x:v>
      </x:c>
    </x:row>
    <x:row r="2" ht="42" customHeight="1">
      <x:c r="A2" s="23" t="n">
        <x:f>'Cola humana'!A2</x:f>
        <x:v>1</x:v>
      </x:c>
      <x:c r="B2" s="23" t="str">
        <x:f>'Cola humana'!D2</x:f>
        <x:v>asset:toefl:set-1:part-5:listen-choose-1</x:v>
      </x:c>
      <x:c r="C2" s="23" t="str">
        <x:f>'Cola humana'!F2</x:f>
        <x:v>Listen and Choose a Response</x:v>
      </x:c>
      <x:c r="D2" s="23" t="str">
        <x:f>'Cola humana'!I2</x:f>
        <x:v>P1</x:v>
      </x:c>
      <x:c r="E2" s="23" t="str">
        <x:f>'Cola humana'!G2</x:f>
        <x:v>/Users/josedavidduartesilva/Developer/idiomaswl/public/audio/toefl/set-1/listen-choose-1.mp3</x:v>
      </x:c>
      <x:c r="F2" s="23" t="str">
        <x:f>'Cola humana'!P2</x:f>
        <x:v>LING-SOURCE-001;LING-STRESS-001</x:v>
      </x:c>
      <x:c r="G2" s="23" t="str">
        <x:f>IF('Cola humana'!Q2="","",'Cola humana'!Q2)</x:f>
      </x:c>
      <x:c r="H2" s="23" t="str">
        <x:f>'Cola humana'!R2</x:f>
        <x:v>Excuse me, could you tell me where the science library is?</x:v>
      </x:c>
      <x:c r="I2" s="23" t="str">
        <x:f>'Cola humana'!V2</x:f>
        <x:v>not_started</x:v>
      </x:c>
      <x:c r="J2" s="23" t="str">
        <x:f>'Cola humana'!AZ2</x:f>
        <x:v>incomplete</x:v>
      </x:c>
      <x:c r="K2" s="23" t="str">
        <x:f>IF('Cola humana'!AO2="","",'Cola humana'!AO2)</x:f>
      </x:c>
      <x:c r="L2" s="23" t="str">
        <x:f>IF('Cola humana'!AQ2="","",'Cola humana'!AQ2)</x:f>
      </x:c>
      <x:c r="M2" s="23" t="str">
        <x:f>'Cola humana'!AY2</x:f>
        <x:v>yes</x:v>
      </x:c>
      <x:c r="N2" s="23" t="str">
        <x:f>'Cola humana'!AW2</x:f>
        <x:v>pending</x:v>
      </x:c>
    </x:row>
    <x:row r="3" ht="42" customHeight="1">
      <x:c r="A3" s="23" t="n">
        <x:f>'Cola humana'!A3</x:f>
        <x:v>2</x:v>
      </x:c>
      <x:c r="B3" s="23" t="str">
        <x:f>'Cola humana'!D3</x:f>
        <x:v>asset:toefl:set-1:part-5:listen-choose-2</x:v>
      </x:c>
      <x:c r="C3" s="23" t="str">
        <x:f>'Cola humana'!F3</x:f>
        <x:v>Listen and Choose a Response</x:v>
      </x:c>
      <x:c r="D3" s="23" t="str">
        <x:f>'Cola humana'!I3</x:f>
        <x:v>P1</x:v>
      </x:c>
      <x:c r="E3" s="23" t="str">
        <x:f>'Cola humana'!G3</x:f>
        <x:v>/Users/josedavidduartesilva/Developer/idiomaswl/public/audio/toefl/set-1/listen-choose-2.mp3</x:v>
      </x:c>
      <x:c r="F3" s="23" t="str">
        <x:f>'Cola humana'!P3</x:f>
        <x:v>LING-SOURCE-001;LING-STRESS-001</x:v>
      </x:c>
      <x:c r="G3" s="23" t="str">
        <x:f>IF('Cola humana'!Q3="","",'Cola humana'!Q3)</x:f>
      </x:c>
      <x:c r="H3" s="23" t="str">
        <x:f>'Cola humana'!R3</x:f>
        <x:v>We're all going out for dinner on Saturday. Would you like to come?</x:v>
      </x:c>
      <x:c r="I3" s="23" t="str">
        <x:f>'Cola humana'!V3</x:f>
        <x:v>not_started</x:v>
      </x:c>
      <x:c r="J3" s="23" t="str">
        <x:f>'Cola humana'!AZ3</x:f>
        <x:v>incomplete</x:v>
      </x:c>
      <x:c r="K3" s="23" t="str">
        <x:f>IF('Cola humana'!AO3="","",'Cola humana'!AO3)</x:f>
      </x:c>
      <x:c r="L3" s="23" t="str">
        <x:f>IF('Cola humana'!AQ3="","",'Cola humana'!AQ3)</x:f>
      </x:c>
      <x:c r="M3" s="23" t="str">
        <x:f>'Cola humana'!AY3</x:f>
        <x:v>yes</x:v>
      </x:c>
      <x:c r="N3" s="23" t="str">
        <x:f>'Cola humana'!AW3</x:f>
        <x:v>pending</x:v>
      </x:c>
    </x:row>
    <x:row r="4" ht="42" customHeight="1">
      <x:c r="A4" s="23" t="n">
        <x:f>'Cola humana'!A4</x:f>
        <x:v>3</x:v>
      </x:c>
      <x:c r="B4" s="23" t="str">
        <x:f>'Cola humana'!D4</x:f>
        <x:v>asset:toefl:set-1:part-5:listen-choose-3</x:v>
      </x:c>
      <x:c r="C4" s="23" t="str">
        <x:f>'Cola humana'!F4</x:f>
        <x:v>Listen and Choose a Response</x:v>
      </x:c>
      <x:c r="D4" s="23" t="str">
        <x:f>'Cola humana'!I4</x:f>
        <x:v>P1</x:v>
      </x:c>
      <x:c r="E4" s="23" t="str">
        <x:f>'Cola humana'!G4</x:f>
        <x:v>/Users/josedavidduartesilva/Developer/idiomaswl/public/audio/toefl/set-1/listen-choose-3.mp3</x:v>
      </x:c>
      <x:c r="F4" s="23" t="str">
        <x:f>'Cola humana'!P4</x:f>
        <x:v>LING-SOURCE-001;LING-STRESS-001</x:v>
      </x:c>
      <x:c r="G4" s="23" t="str">
        <x:f>IF('Cola humana'!Q4="","",'Cola humana'!Q4)</x:f>
      </x:c>
      <x:c r="H4" s="23" t="str">
        <x:f>'Cola humana'!R4</x:f>
        <x:v>Oh no, I forgot my umbrella and it's pouring outside.</x:v>
      </x:c>
      <x:c r="I4" s="23" t="str">
        <x:f>'Cola humana'!V4</x:f>
        <x:v>not_started</x:v>
      </x:c>
      <x:c r="J4" s="23" t="str">
        <x:f>'Cola humana'!AZ4</x:f>
        <x:v>incomplete</x:v>
      </x:c>
      <x:c r="K4" s="23" t="str">
        <x:f>IF('Cola humana'!AO4="","",'Cola humana'!AO4)</x:f>
      </x:c>
      <x:c r="L4" s="23" t="str">
        <x:f>IF('Cola humana'!AQ4="","",'Cola humana'!AQ4)</x:f>
      </x:c>
      <x:c r="M4" s="23" t="str">
        <x:f>'Cola humana'!AY4</x:f>
        <x:v>yes</x:v>
      </x:c>
      <x:c r="N4" s="23" t="str">
        <x:f>'Cola humana'!AW4</x:f>
        <x:v>pending</x:v>
      </x:c>
    </x:row>
    <x:row r="5" ht="42" customHeight="1">
      <x:c r="A5" s="23" t="n">
        <x:f>'Cola humana'!A5</x:f>
        <x:v>4</x:v>
      </x:c>
      <x:c r="B5" s="23" t="str">
        <x:f>'Cola humana'!D5</x:f>
        <x:v>asset:toefl:set-1:part-5:listen-choose-4</x:v>
      </x:c>
      <x:c r="C5" s="23" t="str">
        <x:f>'Cola humana'!F5</x:f>
        <x:v>Listen and Choose a Response</x:v>
      </x:c>
      <x:c r="D5" s="23" t="str">
        <x:f>'Cola humana'!I5</x:f>
        <x:v>P1</x:v>
      </x:c>
      <x:c r="E5" s="23" t="str">
        <x:f>'Cola humana'!G5</x:f>
        <x:v>/Users/josedavidduartesilva/Developer/idiomaswl/public/audio/toefl/set-1/listen-choose-4.mp3</x:v>
      </x:c>
      <x:c r="F5" s="23" t="str">
        <x:f>'Cola humana'!P5</x:f>
        <x:v>LING-SOURCE-001;LING-STRESS-001</x:v>
      </x:c>
      <x:c r="G5" s="23" t="str">
        <x:f>IF('Cola humana'!Q5="","",'Cola humana'!Q5)</x:f>
      </x:c>
      <x:c r="H5" s="23" t="str">
        <x:f>'Cola humana'!R5</x:f>
        <x:v>Could you send me the information about next week's workshop?</x:v>
      </x:c>
      <x:c r="I5" s="23" t="str">
        <x:f>'Cola humana'!V5</x:f>
        <x:v>not_started</x:v>
      </x:c>
      <x:c r="J5" s="23" t="str">
        <x:f>'Cola humana'!AZ5</x:f>
        <x:v>incomplete</x:v>
      </x:c>
      <x:c r="K5" s="23" t="str">
        <x:f>IF('Cola humana'!AO5="","",'Cola humana'!AO5)</x:f>
      </x:c>
      <x:c r="L5" s="23" t="str">
        <x:f>IF('Cola humana'!AQ5="","",'Cola humana'!AQ5)</x:f>
      </x:c>
      <x:c r="M5" s="23" t="str">
        <x:f>'Cola humana'!AY5</x:f>
        <x:v>yes</x:v>
      </x:c>
      <x:c r="N5" s="23" t="str">
        <x:f>'Cola humana'!AW5</x:f>
        <x:v>pending</x:v>
      </x:c>
    </x:row>
    <x:row r="6" ht="42" customHeight="1">
      <x:c r="A6" s="23" t="n">
        <x:f>'Cola humana'!A6</x:f>
        <x:v>5</x:v>
      </x:c>
      <x:c r="B6" s="23" t="str">
        <x:f>'Cola humana'!D6</x:f>
        <x:v>asset:toefl:set-1:part-5:listen-choose-5</x:v>
      </x:c>
      <x:c r="C6" s="23" t="str">
        <x:f>'Cola humana'!F6</x:f>
        <x:v>Listen and Choose a Response</x:v>
      </x:c>
      <x:c r="D6" s="23" t="str">
        <x:f>'Cola humana'!I6</x:f>
        <x:v>P1</x:v>
      </x:c>
      <x:c r="E6" s="23" t="str">
        <x:f>'Cola humana'!G6</x:f>
        <x:v>/Users/josedavidduartesilva/Developer/idiomaswl/public/audio/toefl/set-1/listen-choose-5.mp3</x:v>
      </x:c>
      <x:c r="F6" s="23" t="str">
        <x:f>'Cola humana'!P6</x:f>
        <x:v>LING-SOURCE-001;LING-STRESS-001;LING-DUP-001</x:v>
      </x:c>
      <x:c r="G6" s="23" t="str">
        <x:f>IF('Cola humana'!Q6="","",'Cola humana'!Q6)</x:f>
      </x:c>
      <x:c r="H6" s="23" t="str">
        <x:f>'Cola humana'!R6</x:f>
        <x:v>You look really cheerful today, did something good happen?</x:v>
      </x:c>
      <x:c r="I6" s="23" t="str">
        <x:f>'Cola humana'!V6</x:f>
        <x:v>not_started</x:v>
      </x:c>
      <x:c r="J6" s="23" t="str">
        <x:f>'Cola humana'!AZ6</x:f>
        <x:v>incomplete</x:v>
      </x:c>
      <x:c r="K6" s="23" t="str">
        <x:f>IF('Cola humana'!AO6="","",'Cola humana'!AO6)</x:f>
      </x:c>
      <x:c r="L6" s="23" t="str">
        <x:f>IF('Cola humana'!AQ6="","",'Cola humana'!AQ6)</x:f>
      </x:c>
      <x:c r="M6" s="23" t="str">
        <x:f>'Cola humana'!AY6</x:f>
        <x:v>yes</x:v>
      </x:c>
      <x:c r="N6" s="23" t="str">
        <x:f>'Cola humana'!AW6</x:f>
        <x:v>pending</x:v>
      </x:c>
    </x:row>
    <x:row r="7" ht="42" customHeight="1">
      <x:c r="A7" s="23" t="n">
        <x:f>'Cola humana'!A7</x:f>
        <x:v>6</x:v>
      </x:c>
      <x:c r="B7" s="23" t="str">
        <x:f>'Cola humana'!D7</x:f>
        <x:v>asset:toefl:set-1:part-6:conversation</x:v>
      </x:c>
      <x:c r="C7" s="23" t="str">
        <x:f>'Cola humana'!F7</x:f>
        <x:v>Listen to a Conversation</x:v>
      </x:c>
      <x:c r="D7" s="23" t="str">
        <x:f>'Cola humana'!I7</x:f>
        <x:v>P1</x:v>
      </x:c>
      <x:c r="E7" s="23" t="str">
        <x:f>'Cola humana'!G7</x:f>
        <x:v>/Users/josedavidduartesilva/Developer/idiomaswl/public/audio/toefl/set-1/conversation.mp3</x:v>
      </x:c>
      <x:c r="F7" s="23" t="str">
        <x:f>'Cola humana'!P7</x:f>
        <x:v>LING-DIFF-001;LING-CRIT-001;LING-LEN-001</x:v>
      </x:c>
      <x:c r="G7" s="23" t="str">
        <x:f>IF('Cola humana'!Q7="","",'Cola humana'!Q7)</x:f>
        <x:v>MAN: Have you decided which elective you're taking next term?
WOMAN: I'm stuck between two, actually. There's "Introduction to Psychology," which sounds really interesting, and "Public Speaking," which I know I need but am kind of dreading.
MAN: Why are you dreading public speaking?
WOMAN: I get really nervous in front of people. But that's exactly why I feel like I should take it — I'll have to give presentations in almost every career, and I never get better by avoiding it.
MAN: That's a mature way to look at it. Psychology would probably be more enjoyable, but public speaking might be more useful in the long run.
WOMAN: Right. And a friend who took the public speaking course last year said the teacher is really supportive — you start with tiny, low-pressure exercises and build up gradually. It's not like you have to give a big speech on day one.
MAN: That does sound less scary. Honestly, I might take it too. I could use the practice.
WOMAN: You should! It'd be easier with a friend in the class. Okay, you've helped me decide — I'll sign up for public speaking. I can always take psychology another term.</x:v>
      </x:c>
      <x:c r="H7" s="23" t="str">
        <x:f>'Cola humana'!R7</x:f>
        <x:v>Have you decided which elective you're taking next term? I'm stuck between two, actually. There's introduction to psychology, which sounds really interesting. And public speaking, which I know I need, but I'm kind of dreading. Why are you dreading public speaking? I get really nervous in front of people, but that's exactly why I feel like I should take it. I'll have to give presentations in almost every career, and I never get better by avoiding it. That's a mature way to look at it. Psychology would probably be more enjoyable, but public speaking might be more useful in the long run. Right. And a friend who took the public speaking course last year said the teacher is really supportive. You start with tiny, low pressure exercises and build up gradually. It's not like you have to give a big speech on day one. That does sound less scary. Honestly, I might take it too. I could use the practice. You should. It'd be easier with a friend in the class. Okay, you've helped me decide. I'll sign up for public speaking. I can always take psychology and other terms.</x:v>
      </x:c>
      <x:c r="I7" s="23" t="str">
        <x:f>'Cola humana'!V7</x:f>
        <x:v>not_started</x:v>
      </x:c>
      <x:c r="J7" s="23" t="str">
        <x:f>'Cola humana'!AZ7</x:f>
        <x:v>incomplete</x:v>
      </x:c>
      <x:c r="K7" s="23" t="str">
        <x:f>IF('Cola humana'!AO7="","",'Cola humana'!AO7)</x:f>
      </x:c>
      <x:c r="L7" s="23" t="str">
        <x:f>IF('Cola humana'!AQ7="","",'Cola humana'!AQ7)</x:f>
      </x:c>
      <x:c r="M7" s="23" t="str">
        <x:f>'Cola humana'!AY7</x:f>
        <x:v>yes</x:v>
      </x:c>
      <x:c r="N7" s="23" t="str">
        <x:f>'Cola humana'!AW7</x:f>
        <x:v>pending</x:v>
      </x:c>
    </x:row>
    <x:row r="8" ht="42" customHeight="1">
      <x:c r="A8" s="23" t="n">
        <x:f>'Cola humana'!A8</x:f>
        <x:v>7</x:v>
      </x:c>
      <x:c r="B8" s="23" t="str">
        <x:f>'Cola humana'!D8</x:f>
        <x:v>asset:toefl:set-1:part-7:announcement</x:v>
      </x:c>
      <x:c r="C8" s="23" t="str">
        <x:f>'Cola humana'!F8</x:f>
        <x:v>Listen to an Announcement</x:v>
      </x:c>
      <x:c r="D8" s="23" t="str">
        <x:f>'Cola humana'!I8</x:f>
        <x:v>P1</x:v>
      </x:c>
      <x:c r="E8" s="23" t="str">
        <x:f>'Cola humana'!G8</x:f>
        <x:v>/Users/josedavidduartesilva/Developer/idiomaswl/public/audio/toefl/set-1/announcement.mp3</x:v>
      </x:c>
      <x:c r="F8" s="23" t="str">
        <x:f>'Cola humana'!P8</x:f>
        <x:v>LING-DIFF-001;LING-LEN-001</x:v>
      </x:c>
      <x:c r="G8" s="23" t="str">
        <x:f>IF('Cola humana'!Q8="","",'Cola humana'!Q8)</x:f>
        <x:v>Good morning, students. This is an announcement about the campus cafeteria. Starting next Monday, we are introducing a number of changes based on the feedback many of you gave in last term's survey. First, we're extending our opening hours: the cafeteria will now stay open until nine p.m. on weekdays, so those of you studying late can still get a hot meal.
Second, we're expanding our vegetarian and vegan options — there will be at least three plant-based main dishes available at every meal. Third, to reduce waste, we're switching to reusable plates and cups for anyone eating in; disposable containers will only be given to those taking food away. We'll have a small deposit system for takeaway containers, which you get back when you return them. We hope these changes make the cafeteria a better place for everyone. Thank you for your feedback — it really does make a difference.</x:v>
      </x:c>
      <x:c r="H8" s="23" t="str">
        <x:f>'Cola humana'!R8</x:f>
        <x:v>Good morning, students. This is an announcement about the campus cafeteria. Starting next Monday, we are introducing a number of changes based on the feedback many of you gave in last term survey. First, we're extending our opening hours. The cafeteria will now stay open until 9 PM on weekdays, so those of you studying late can still get a hot meal. Second, we're expanding our vegetarian and vegan options. There will be at least three plant-based main dishes available at every meal. Third, to reduce waste, we're switching to reusable plates and cups for anyone eating in. Disposable containers will only be given to those taking food away. We'll have a small deposit system for takeaway containers, which you get back when you return them. We hope these changes make the cafeteria a better place for everyone. Thank you for your feedback. It really does make a difference.</x:v>
      </x:c>
      <x:c r="I8" s="23" t="str">
        <x:f>'Cola humana'!V8</x:f>
        <x:v>not_started</x:v>
      </x:c>
      <x:c r="J8" s="23" t="str">
        <x:f>'Cola humana'!AZ8</x:f>
        <x:v>incomplete</x:v>
      </x:c>
      <x:c r="K8" s="23" t="str">
        <x:f>IF('Cola humana'!AO8="","",'Cola humana'!AO8)</x:f>
      </x:c>
      <x:c r="L8" s="23" t="str">
        <x:f>IF('Cola humana'!AQ8="","",'Cola humana'!AQ8)</x:f>
      </x:c>
      <x:c r="M8" s="23" t="str">
        <x:f>'Cola humana'!AY8</x:f>
        <x:v>yes</x:v>
      </x:c>
      <x:c r="N8" s="23" t="str">
        <x:f>'Cola humana'!AW8</x:f>
        <x:v>pending</x:v>
      </x:c>
    </x:row>
    <x:row r="9" ht="42" customHeight="1">
      <x:c r="A9" s="23" t="n">
        <x:f>'Cola humana'!A9</x:f>
        <x:v>8</x:v>
      </x:c>
      <x:c r="B9" s="23" t="str">
        <x:f>'Cola humana'!D9</x:f>
        <x:v>asset:toefl:set-1:part-8:academic-talk</x:v>
      </x:c>
      <x:c r="C9" s="23" t="str">
        <x:f>'Cola humana'!F9</x:f>
        <x:v>Listen to an Academic Talk</x:v>
      </x:c>
      <x:c r="D9" s="23" t="str">
        <x:f>'Cola humana'!I9</x:f>
        <x:v>P1</x:v>
      </x:c>
      <x:c r="E9" s="23" t="str">
        <x:f>'Cola humana'!G9</x:f>
        <x:v>/Users/josedavidduartesilva/Developer/idiomaswl/public/audio/toefl/set-1/academic-talk.mp3</x:v>
      </x:c>
      <x:c r="F9" s="23" t="str">
        <x:f>'Cola humana'!P9</x:f>
        <x:v>LING-DIFF-001;LING-CRIT-001;LING-LEN-002</x:v>
      </x:c>
      <x:c r="G9" s="23" t="str">
        <x:f>IF('Cola humana'!Q9="","",'Cola humana'!Q9)</x:f>
        <x:v>PROFESSOR: Today I want to talk about a color that changed the world — or rather, a color that was, for most of history, almost impossible to make: the color purple. Specifically, a deep reddish-purple dye known in the ancient world as Tyrian purple. Understanding its story tells us a lot about how scarcity shapes value and even politics.
In the ancient Mediterranean, this purple dye was made from the mucus of certain sea snails. And here's the astonishing part: it took thousands of snails to produce just a tiny amount of dye — by some estimates, around ten thousand snails for a single gram. The process was slow, foul-smelling, and enormously labor-intensive. As a result, purple cloth became one of the most expensive substances in the world, worth more than its weight in gold.
Because it was so costly, purple became a symbol of wealth and power. Only emperors, kings, and the very rich could afford it. In the Roman Empire, laws were even passed restricting who was allowed to wear purple — at times, only the emperor himself. This is where we get the phrase "born to the purple," meaning born into royalty. The color's meaning came almost entirely from its scarcity, not from anything about the color itself.
Now, here's the twist that I find fascinating. In eighteen fifty-six, a young British chemistry student named William Perkin was trying to make an anti-malaria drug, and he accidentally created the first synthetic purple dye. Suddenly, purple could be manufactured cheaply and in large quantities. Within a few decades, this once-royal color became available to ordinary people. And this is the deeper lesson: the value of purple was never really about the color. It was about how hard it was to get. Once technology removed that difficulty, the color lost its exclusive meaning. Scarcity, not beauty, had been doing the work all along.</x:v>
      </x:c>
      <x:c r="H9" s="23" t="str">
        <x:f>'Cola humana'!R9</x:f>
        <x:v>Today I want to talk about a color that changed the world, or rather, a color that was, for most of history, almost impossible to make, the color purple, specifically a deep reddish-purple dye known in the ancient world as Tyrion purple. Understanding its story tells us a lot about how scarcity shapes value and even politics. In the ancient Mediterranean, this purple dye was made from the mucus of certain sea snails. And here's the astonishing part. It took thousands of snails to produce just a tiny amount of dye, by some estimates around 10,000 snails for a single gram. The process was slow, foul-smelling, and enormously labor-intensive. As a result, purple cloth became one of the most expensive substances in the world, worth more than its weight in gold. Because it was so costly, purple became a symbol of wealth and power. Only emperors, kings, and the very rich could afford it. In the Roman Empire, laws were even passed restricting who was allowed to wear purple. At times, only the emperor himself. This is where we get the phrase born to the purple, meaning born into royalty. The color's meaning came almost entirely from its scarcity, not from anything about the color itself. Now, here's the twist that I find fascinating. In 1856, a young British chemistry student named William Perkin was trying to make an anti-malaria drug, and he accidentally created the first synthetic purple dye. Suddenly, purple could be manufactured cheaply and in large quantities. Within a few decades, this once royal color became available to ordinary people. And this is the deeper lesson. The value of purple was never really about the color. It was about how hard it was to get. Once technology removed that difficulty, the color lost its exclusive meaning. Scarcity, not beauty, had been doing the work all along.</x:v>
      </x:c>
      <x:c r="I9" s="23" t="str">
        <x:f>'Cola humana'!V9</x:f>
        <x:v>not_started</x:v>
      </x:c>
      <x:c r="J9" s="23" t="str">
        <x:f>'Cola humana'!AZ9</x:f>
        <x:v>incomplete</x:v>
      </x:c>
      <x:c r="K9" s="23" t="str">
        <x:f>IF('Cola humana'!AO9="","",'Cola humana'!AO9)</x:f>
      </x:c>
      <x:c r="L9" s="23" t="str">
        <x:f>IF('Cola humana'!AQ9="","",'Cola humana'!AQ9)</x:f>
      </x:c>
      <x:c r="M9" s="23" t="str">
        <x:f>'Cola humana'!AY9</x:f>
        <x:v>yes</x:v>
      </x:c>
      <x:c r="N9" s="23" t="str">
        <x:f>'Cola humana'!AW9</x:f>
        <x:v>pending</x:v>
      </x:c>
    </x:row>
    <x:row r="10" ht="42" customHeight="1">
      <x:c r="A10" s="23" t="n">
        <x:f>'Cola humana'!A10</x:f>
        <x:v>9</x:v>
      </x:c>
      <x:c r="B10" s="23" t="str">
        <x:f>'Cola humana'!D10</x:f>
        <x:v>asset:toefl:set-2:part-8:academic-talk</x:v>
      </x:c>
      <x:c r="C10" s="23" t="str">
        <x:f>'Cola humana'!F10</x:f>
        <x:v>Listen to an Academic Talk</x:v>
      </x:c>
      <x:c r="D10" s="23" t="str">
        <x:f>'Cola humana'!I10</x:f>
        <x:v>P1</x:v>
      </x:c>
      <x:c r="E10" s="23" t="str">
        <x:f>'Cola humana'!G10</x:f>
        <x:v>/Users/josedavidduartesilva/Developer/idiomaswl/public/audio/toefl/set-2/academic-talk.mp3</x:v>
      </x:c>
      <x:c r="F10" s="23" t="str">
        <x:f>'Cola humana'!P10</x:f>
        <x:v>LING-DIFF-001;LING-CRIT-001;ASR-CONF-001;LING-LEN-002</x:v>
      </x:c>
      <x:c r="G10" s="23" t="str">
        <x:f>IF('Cola humana'!Q10="","",'Cola humana'!Q10)</x:f>
        <x:v>PROFESSOR: Today I want to introduce a fascinating idea from psychology called the "spacing effect." It has enormous practical importance for anyone who wants to learn something — which is to say, all of you. The spacing effect describes a simple but powerful finding: we remember information much better when we study it in several short sessions spread out over time, rather than in one long session.
Let me put it in concrete terms. Suppose you have six hours to prepare for an exam. You could do all six hours the night before — what students call "cramming." Or you could do one hour a day for six days. Decades of research show, quite consistently, that the spaced approach — the six separate hours — leads to far better long-term retention. Even though the total study time is identical, spreading it out dramatically improves how much you remember weeks or months later.
Why does this happen? The leading explanation involves how memories are strengthened through retrieval. Each time you return to material after a gap, your brain has to work a little harder to recall it, and that effortful retrieval strengthens the memory. When you cram, the information is still fresh from a few minutes ago, so recalling it is easy — and easy recall does little to strengthen long-term memory. A little bit of forgetting between sessions, followed by successful retrieval, is exactly what builds durable knowledge.
The practical implications are significant, and, frankly, most students ignore them. Cramming can get you through a test the next morning, because the information is briefly available. But it's remarkably inefficient for genuine, lasting learning. If you're studying a language, a science, or anything you actually want to keep, the research is clear: study a little, often, with gaps in between. Space it out. Your future self will remember far more for the same total effort.</x:v>
      </x:c>
      <x:c r="H10" s="23" t="str">
        <x:f>'Cola humana'!R10</x:f>
        <x:v>Today I want to introduce a fascinating idea from psychology called the spacing effect. It has enormous practical importance for anyone who wants to learn something, which is to say, all of you. The spacing effect describes a simple but powerful finding. We remember information much better when we study it in several short sessions spread out over time rather than in one long session. me put it in concrete terms. Suppose you have six hours to prepare for an exam. You could do all six hours the night before, what students call cramming. Or you could do one hour a day for six days. Decades of research show quite consistently that the spaced approach, the six separate hours, leads to far better long-term retention. Even though the total study time is identical, spreading it out dramatically improves how much you remember weeks or months later. Why does this happen? The leading explanation involves how memories are strengthened through retrieval. Each time you return to material after a gap, your brain has to work a little harder to recall it, and that effortful retrieval strengthens the memory. When you cram, the information is still fresh from a few minutes ago, so recalling it is easy, and easy recall does little to strengthen long-term memory. A little bit of forgetting between sessions, followed by successful retrieval, is exactly what builds durable knowledge. The practical implications are significant, and, frankly, most students ignore them. cramming can get you through a test the next morning because the information is briefly available, but it's remarkably inefficient for genuine, lasting learning. If you're studying a language, a science, or anything you actually want to keep, the research is clear. Study a little, often, with gaps in between. Space it out. Your future self will remember far more for the same total effort.</x:v>
      </x:c>
      <x:c r="I10" s="23" t="str">
        <x:f>'Cola humana'!V10</x:f>
        <x:v>not_started</x:v>
      </x:c>
      <x:c r="J10" s="23" t="str">
        <x:f>'Cola humana'!AZ10</x:f>
        <x:v>incomplete</x:v>
      </x:c>
      <x:c r="K10" s="23" t="str">
        <x:f>IF('Cola humana'!AO10="","",'Cola humana'!AO10)</x:f>
      </x:c>
      <x:c r="L10" s="23" t="str">
        <x:f>IF('Cola humana'!AQ10="","",'Cola humana'!AQ10)</x:f>
      </x:c>
      <x:c r="M10" s="23" t="str">
        <x:f>'Cola humana'!AY10</x:f>
        <x:v>yes</x:v>
      </x:c>
      <x:c r="N10" s="23" t="str">
        <x:f>'Cola humana'!AW10</x:f>
        <x:v>pending</x:v>
      </x:c>
    </x:row>
    <x:row r="11" ht="42" customHeight="1">
      <x:c r="A11" s="23" t="n">
        <x:f>'Cola humana'!A11</x:f>
        <x:v>10</x:v>
      </x:c>
      <x:c r="B11" s="23" t="str">
        <x:f>'Cola humana'!D11</x:f>
        <x:v>asset:toefl:set-7:part-5:listen-choose-2</x:v>
      </x:c>
      <x:c r="C11" s="23" t="str">
        <x:f>'Cola humana'!F11</x:f>
        <x:v>Listen and Choose a Response</x:v>
      </x:c>
      <x:c r="D11" s="23" t="str">
        <x:f>'Cola humana'!I11</x:f>
        <x:v>P1</x:v>
      </x:c>
      <x:c r="E11" s="23" t="str">
        <x:f>'Cola humana'!G11</x:f>
        <x:v>/Users/josedavidduartesilva/Developer/idiomaswl/public/audio/toefl/set-7/listen-choose-2.mp3</x:v>
      </x:c>
      <x:c r="F11" s="23" t="str">
        <x:f>'Cola humana'!P11</x:f>
        <x:v>LING-SOURCE-001;TECH-T06-FAIL;LING-STRESS-001;LING-ASR-UNCERTAIN-001</x:v>
      </x:c>
      <x:c r="G11" s="23" t="str">
        <x:f>IF('Cola humana'!Q11="","",'Cola humana'!Q11)</x:f>
      </x:c>
      <x:c r="H11" s="23" t="str">
        <x:f>'Cola humana'!R11</x:f>
        <x:v>Would you like to join us for a hank this Saturday?</x:v>
      </x:c>
      <x:c r="I11" s="23" t="str">
        <x:f>'Cola humana'!V11</x:f>
        <x:v>not_started</x:v>
      </x:c>
      <x:c r="J11" s="23" t="str">
        <x:f>'Cola humana'!AZ11</x:f>
        <x:v>incomplete</x:v>
      </x:c>
      <x:c r="K11" s="23" t="str">
        <x:f>IF('Cola humana'!AO11="","",'Cola humana'!AO11)</x:f>
      </x:c>
      <x:c r="L11" s="23" t="str">
        <x:f>IF('Cola humana'!AQ11="","",'Cola humana'!AQ11)</x:f>
      </x:c>
      <x:c r="M11" s="23" t="str">
        <x:f>'Cola humana'!AY11</x:f>
        <x:v>yes</x:v>
      </x:c>
      <x:c r="N11" s="23" t="str">
        <x:f>'Cola humana'!AW11</x:f>
        <x:v>pending</x:v>
      </x:c>
    </x:row>
    <x:row r="12" ht="42" customHeight="1">
      <x:c r="A12" s="23" t="n">
        <x:f>'Cola humana'!A12</x:f>
        <x:v>11</x:v>
      </x:c>
      <x:c r="B12" s="23" t="str">
        <x:f>'Cola humana'!D12</x:f>
        <x:v>asset:toefl:set-11:part-6:conversation</x:v>
      </x:c>
      <x:c r="C12" s="23" t="str">
        <x:f>'Cola humana'!F12</x:f>
        <x:v>Listen to a Conversation</x:v>
      </x:c>
      <x:c r="D12" s="23" t="str">
        <x:f>'Cola humana'!I12</x:f>
        <x:v>P1</x:v>
      </x:c>
      <x:c r="E12" s="23" t="str">
        <x:f>'Cola humana'!G12</x:f>
        <x:v>/Users/josedavidduartesilva/Developer/idiomaswl/public/audio/toefl/set-11/conversation.mp3</x:v>
      </x:c>
      <x:c r="F12" s="23" t="str">
        <x:f>'Cola humana'!P12</x:f>
        <x:v>LING-DIFF-001;ASR-CONF-001;ASR-NS-001;TECH-T06-FAIL;LING-LEN-001</x:v>
      </x:c>
      <x:c r="G12" s="23" t="str">
        <x:f>IF('Cola humana'!Q12="","",'Cola humana'!Q12)</x:f>
        <x:v>WOMAN: Are you going to the study-skills workshop this afternoon?
MAN: I wasn't planning to. Do you think it's worth it? I've got a lot of reading to catch up on.
WOMAN: Honestly, I think it might be. It's on note-taking and time management. And you're always saying you feel behind and disorganized.
MAN: That's true. My notes are a mess — I write down everything the professor says, and then I can't find anything useful later.
WOMAN: See, that's exactly what they'll cover. Apparently there's a method where you only write key points during the lecture and then summarize in your own words afterward. Supposedly you remember much more that way.
MAN: Huh. That actually sounds like it could fix my problem. But it's from three to four, and I have so much reading.
WOMAN: One hour now could save you hours later, though. If you take better notes, you won't have to reread everything three times.
MAN: Okay, you've convinced me. I'll come. If nothing else, it'll stop me from feeling guilty about procrastinating on the reading.</x:v>
      </x:c>
      <x:c r="H12" s="23" t="str">
        <x:f>'Cola humana'!R12</x:f>
        <x:v>Are you going to the study skills workshop this afternoon? I wasn't planning to. Do you think it's worth it? I've got a lot of reading to catch up on. Honestly, I think it might be. It's on note-taking and time management, and you're always saying you feel behind and disorganized. That's true. My notes are a mess. I write down everything the professor says, and then I can't find anything useful later. See, that's exactly what they'll cover. Apparently there's a method where you only write key points during the lecture, and then summarize in your own words afterward. Supposedly, you remember much more that way. Huh. That actually sounds like it could fix my problem. But it's from three to four, and I have so much reading. One hour now could save you hours later, though. If you take better notes, you won't have to reread everything three times. Okay, you've convinced me. I'll come. If nothing else, it'll stop me from feeling guilty about procrastinating on the reading. You</x:v>
      </x:c>
      <x:c r="I12" s="23" t="str">
        <x:f>'Cola humana'!V12</x:f>
        <x:v>not_started</x:v>
      </x:c>
      <x:c r="J12" s="23" t="str">
        <x:f>'Cola humana'!AZ12</x:f>
        <x:v>incomplete</x:v>
      </x:c>
      <x:c r="K12" s="23" t="str">
        <x:f>IF('Cola humana'!AO12="","",'Cola humana'!AO12)</x:f>
      </x:c>
      <x:c r="L12" s="23" t="str">
        <x:f>IF('Cola humana'!AQ12="","",'Cola humana'!AQ12)</x:f>
      </x:c>
      <x:c r="M12" s="23" t="str">
        <x:f>'Cola humana'!AY12</x:f>
        <x:v>yes</x:v>
      </x:c>
      <x:c r="N12" s="23" t="str">
        <x:f>'Cola humana'!AW12</x:f>
        <x:v>pending</x:v>
      </x:c>
    </x:row>
    <x:row r="13" ht="42" customHeight="1">
      <x:c r="A13" s="23" t="n">
        <x:f>'Cola humana'!A13</x:f>
        <x:v>12</x:v>
      </x:c>
      <x:c r="B13" s="23" t="str">
        <x:f>'Cola humana'!D13</x:f>
        <x:v>asset:toefl:set-14:part-12:repeat-1</x:v>
      </x:c>
      <x:c r="C13" s="23" t="str">
        <x:f>'Cola humana'!F13</x:f>
        <x:v>Listen and Repeat</x:v>
      </x:c>
      <x:c r="D13" s="23" t="str">
        <x:f>'Cola humana'!I13</x:f>
        <x:v>P1</x:v>
      </x:c>
      <x:c r="E13" s="23" t="str">
        <x:f>'Cola humana'!G13</x:f>
        <x:v>/Users/josedavidduartesilva/Developer/idiomaswl/public/audio/toefl/set-14/repeat-1.mp3</x:v>
      </x:c>
      <x:c r="F13" s="23" t="str">
        <x:f>'Cola humana'!P13</x:f>
        <x:v>ASR-CONF-001;TECH-T06-FAIL</x:v>
      </x:c>
      <x:c r="G13" s="23" t="str">
        <x:f>IF('Cola humana'!Q13="","",'Cola humana'!Q13)</x:f>
        <x:v>The door is open.</x:v>
      </x:c>
      <x:c r="H13" s="23" t="str">
        <x:f>'Cola humana'!R13</x:f>
        <x:v>The door is open!</x:v>
      </x:c>
      <x:c r="I13" s="23" t="str">
        <x:f>'Cola humana'!V13</x:f>
        <x:v>not_started</x:v>
      </x:c>
      <x:c r="J13" s="23" t="str">
        <x:f>'Cola humana'!AZ13</x:f>
        <x:v>incomplete</x:v>
      </x:c>
      <x:c r="K13" s="23" t="str">
        <x:f>IF('Cola humana'!AO13="","",'Cola humana'!AO13)</x:f>
      </x:c>
      <x:c r="L13" s="23" t="str">
        <x:f>IF('Cola humana'!AQ13="","",'Cola humana'!AQ13)</x:f>
      </x:c>
      <x:c r="M13" s="23" t="str">
        <x:f>'Cola humana'!AY13</x:f>
        <x:v>yes</x:v>
      </x:c>
      <x:c r="N13" s="23" t="str">
        <x:f>'Cola humana'!AW13</x:f>
        <x:v>pending</x:v>
      </x:c>
    </x:row>
    <x:row r="14" ht="42" customHeight="1">
      <x:c r="A14" s="23" t="n">
        <x:f>'Cola humana'!A14</x:f>
        <x:v>13</x:v>
      </x:c>
      <x:c r="B14" s="23" t="str">
        <x:f>'Cola humana'!D14</x:f>
        <x:v>asset:toefl:set-15:part-5:listen-choose-1</x:v>
      </x:c>
      <x:c r="C14" s="23" t="str">
        <x:f>'Cola humana'!F14</x:f>
        <x:v>Listen and Choose a Response</x:v>
      </x:c>
      <x:c r="D14" s="23" t="str">
        <x:f>'Cola humana'!I14</x:f>
        <x:v>P1</x:v>
      </x:c>
      <x:c r="E14" s="23" t="str">
        <x:f>'Cola humana'!G14</x:f>
        <x:v>/Users/josedavidduartesilva/Developer/idiomaswl/public/audio/toefl/set-15/listen-choose-1.mp3</x:v>
      </x:c>
      <x:c r="F14" s="23" t="str">
        <x:f>'Cola humana'!P14</x:f>
        <x:v>LING-SOURCE-001;LING-STRESS-001;LING-EXCHANGE-002</x:v>
      </x:c>
      <x:c r="G14" s="23" t="str">
        <x:f>IF('Cola humana'!Q14="","",'Cola humana'!Q14)</x:f>
      </x:c>
      <x:c r="H14" s="23" t="str">
        <x:f>'Cola humana'!R14</x:f>
        <x:v>Excuse me, where can I find the dictionaries?</x:v>
      </x:c>
      <x:c r="I14" s="23" t="str">
        <x:f>'Cola humana'!V14</x:f>
        <x:v>not_started</x:v>
      </x:c>
      <x:c r="J14" s="23" t="str">
        <x:f>'Cola humana'!AZ14</x:f>
        <x:v>incomplete</x:v>
      </x:c>
      <x:c r="K14" s="23" t="str">
        <x:f>IF('Cola humana'!AO14="","",'Cola humana'!AO14)</x:f>
      </x:c>
      <x:c r="L14" s="23" t="str">
        <x:f>IF('Cola humana'!AQ14="","",'Cola humana'!AQ14)</x:f>
      </x:c>
      <x:c r="M14" s="23" t="str">
        <x:f>'Cola humana'!AY14</x:f>
        <x:v>yes</x:v>
      </x:c>
      <x:c r="N14" s="23" t="str">
        <x:f>'Cola humana'!AW14</x:f>
        <x:v>pending</x:v>
      </x:c>
    </x:row>
    <x:row r="15" ht="42" customHeight="1">
      <x:c r="A15" s="23" t="n">
        <x:f>'Cola humana'!A15</x:f>
        <x:v>14</x:v>
      </x:c>
      <x:c r="B15" s="23" t="str">
        <x:f>'Cola humana'!D15</x:f>
        <x:v>asset:toefl:set-18:part-5:listen-choose-2</x:v>
      </x:c>
      <x:c r="C15" s="23" t="str">
        <x:f>'Cola humana'!F15</x:f>
        <x:v>Listen and Choose a Response</x:v>
      </x:c>
      <x:c r="D15" s="23" t="str">
        <x:f>'Cola humana'!I15</x:f>
        <x:v>P1</x:v>
      </x:c>
      <x:c r="E15" s="23" t="str">
        <x:f>'Cola humana'!G15</x:f>
        <x:v>/Users/josedavidduartesilva/Developer/idiomaswl/public/audio/toefl/set-18/listen-choose-2.mp3</x:v>
      </x:c>
      <x:c r="F15" s="23" t="str">
        <x:f>'Cola humana'!P15</x:f>
        <x:v>LING-SOURCE-001;LING-STRESS-001;LING-ASR-UNCERTAIN-001</x:v>
      </x:c>
      <x:c r="G15" s="23" t="str">
        <x:f>IF('Cola humana'!Q15="","",'Cola humana'!Q15)</x:f>
      </x:c>
      <x:c r="H15" s="23" t="str">
        <x:f>'Cola humana'!R15</x:f>
        <x:v>Could you bring your notes to want to study group tomorrow?</x:v>
      </x:c>
      <x:c r="I15" s="23" t="str">
        <x:f>'Cola humana'!V15</x:f>
        <x:v>not_started</x:v>
      </x:c>
      <x:c r="J15" s="23" t="str">
        <x:f>'Cola humana'!AZ15</x:f>
        <x:v>incomplete</x:v>
      </x:c>
      <x:c r="K15" s="23" t="str">
        <x:f>IF('Cola humana'!AO15="","",'Cola humana'!AO15)</x:f>
      </x:c>
      <x:c r="L15" s="23" t="str">
        <x:f>IF('Cola humana'!AQ15="","",'Cola humana'!AQ15)</x:f>
      </x:c>
      <x:c r="M15" s="23" t="str">
        <x:f>'Cola humana'!AY15</x:f>
        <x:v>yes</x:v>
      </x:c>
      <x:c r="N15" s="23" t="str">
        <x:f>'Cola humana'!AW15</x:f>
        <x:v>pending</x:v>
      </x:c>
    </x:row>
    <x:row r="16" ht="42" customHeight="1">
      <x:c r="A16" s="23" t="n">
        <x:f>'Cola humana'!A16</x:f>
        <x:v>15</x:v>
      </x:c>
      <x:c r="B16" s="23" t="str">
        <x:f>'Cola humana'!D16</x:f>
        <x:v>asset:toefl:set-5:part-12:repeat-5</x:v>
      </x:c>
      <x:c r="C16" s="23" t="str">
        <x:f>'Cola humana'!F16</x:f>
        <x:v>Listen and Repeat</x:v>
      </x:c>
      <x:c r="D16" s="23" t="str">
        <x:f>'Cola humana'!I16</x:f>
        <x:v>P2</x:v>
      </x:c>
      <x:c r="E16" s="23" t="str">
        <x:f>'Cola humana'!G16</x:f>
        <x:v>/Users/josedavidduartesilva/Developer/idiomaswl/public/audio/toefl/set-5/repeat-5.mp3</x:v>
      </x:c>
      <x:c r="F16" s="23" t="str">
        <x:f>'Cola humana'!P16</x:f>
        <x:v>TECH-T06-FAIL</x:v>
      </x:c>
      <x:c r="G16" s="23" t="str">
        <x:f>IF('Cola humana'!Q16="","",'Cola humana'!Q16)</x:f>
        <x:v>If the committee approves the proposal, construction of the new library will begin in the spring.</x:v>
      </x:c>
      <x:c r="H16" s="23" t="str">
        <x:f>'Cola humana'!R16</x:f>
        <x:v>If the committee approves the proposal, construction of the new library will begin in the spring.</x:v>
      </x:c>
      <x:c r="I16" s="23" t="str">
        <x:f>'Cola humana'!V16</x:f>
        <x:v>not_started</x:v>
      </x:c>
      <x:c r="J16" s="23" t="str">
        <x:f>'Cola humana'!AZ16</x:f>
        <x:v>incomplete</x:v>
      </x:c>
      <x:c r="K16" s="23" t="str">
        <x:f>IF('Cola humana'!AO16="","",'Cola humana'!AO16)</x:f>
      </x:c>
      <x:c r="L16" s="23" t="str">
        <x:f>IF('Cola humana'!AQ16="","",'Cola humana'!AQ16)</x:f>
      </x:c>
      <x:c r="M16" s="23" t="str">
        <x:f>'Cola humana'!AY16</x:f>
        <x:v>yes</x:v>
      </x:c>
      <x:c r="N16" s="23" t="str">
        <x:f>'Cola humana'!AW16</x:f>
        <x:v>pending</x:v>
      </x:c>
    </x:row>
    <x:row r="17" ht="42" customHeight="1">
      <x:c r="A17" s="23" t="n">
        <x:f>'Cola humana'!A17</x:f>
        <x:v>16</x:v>
      </x:c>
      <x:c r="B17" s="23" t="str">
        <x:f>'Cola humana'!D17</x:f>
        <x:v>asset:toefl:set-1:part-12:repeat-1</x:v>
      </x:c>
      <x:c r="C17" s="23" t="str">
        <x:f>'Cola humana'!F17</x:f>
        <x:v>Listen and Repeat</x:v>
      </x:c>
      <x:c r="D17" s="23" t="str">
        <x:f>'Cola humana'!I17</x:f>
        <x:v>P3</x:v>
      </x:c>
      <x:c r="E17" s="23" t="str">
        <x:f>'Cola humana'!G17</x:f>
        <x:v>/Users/josedavidduartesilva/Developer/idiomaswl/public/audio/toefl/set-1/repeat-1.mp3</x:v>
      </x:c>
      <x:c r="F17" s="23" t="str">
        <x:f>'Cola humana'!P17</x:f>
        <x:v>stratified_human_confirmation</x:v>
      </x:c>
      <x:c r="G17" s="23" t="str">
        <x:f>IF('Cola humana'!Q17="","",'Cola humana'!Q17)</x:f>
        <x:v>The office is closed.</x:v>
      </x:c>
      <x:c r="H17" s="23" t="str">
        <x:f>'Cola humana'!R17</x:f>
        <x:v>The office is closed.</x:v>
      </x:c>
      <x:c r="I17" s="23" t="str">
        <x:f>'Cola humana'!V17</x:f>
        <x:v>not_started</x:v>
      </x:c>
      <x:c r="J17" s="23" t="str">
        <x:f>'Cola humana'!AZ17</x:f>
        <x:v>incomplete</x:v>
      </x:c>
      <x:c r="K17" s="23" t="str">
        <x:f>IF('Cola humana'!AO17="","",'Cola humana'!AO17)</x:f>
      </x:c>
      <x:c r="L17" s="23" t="str">
        <x:f>IF('Cola humana'!AQ17="","",'Cola humana'!AQ17)</x:f>
      </x:c>
      <x:c r="M17" s="23" t="str">
        <x:f>'Cola humana'!AY17</x:f>
        <x:v>yes</x:v>
      </x:c>
      <x:c r="N17" s="23" t="str">
        <x:f>'Cola humana'!AW17</x:f>
        <x:v>pending</x:v>
      </x:c>
    </x:row>
    <x:row r="18" ht="42" customHeight="1">
      <x:c r="A18" s="23" t="n">
        <x:f>'Cola humana'!A18</x:f>
        <x:v>17</x:v>
      </x:c>
      <x:c r="B18" s="23" t="str">
        <x:f>'Cola humana'!D18</x:f>
        <x:v>asset:toefl:set-1:part-12:repeat-2</x:v>
      </x:c>
      <x:c r="C18" s="23" t="str">
        <x:f>'Cola humana'!F18</x:f>
        <x:v>Listen and Repeat</x:v>
      </x:c>
      <x:c r="D18" s="23" t="str">
        <x:f>'Cola humana'!I18</x:f>
        <x:v>P3</x:v>
      </x:c>
      <x:c r="E18" s="23" t="str">
        <x:f>'Cola humana'!G18</x:f>
        <x:v>/Users/josedavidduartesilva/Developer/idiomaswl/public/audio/toefl/set-1/repeat-2.mp3</x:v>
      </x:c>
      <x:c r="F18" s="23" t="str">
        <x:f>'Cola humana'!P18</x:f>
        <x:v>stratified_human_confirmation</x:v>
      </x:c>
      <x:c r="G18" s="23" t="str">
        <x:f>IF('Cola humana'!Q18="","",'Cola humana'!Q18)</x:f>
        <x:v>She made a cake for her brother's birthday.</x:v>
      </x:c>
      <x:c r="H18" s="23" t="str">
        <x:f>'Cola humana'!R18</x:f>
        <x:v>She made a cake for her brother's birthday.</x:v>
      </x:c>
      <x:c r="I18" s="23" t="str">
        <x:f>'Cola humana'!V18</x:f>
        <x:v>not_started</x:v>
      </x:c>
      <x:c r="J18" s="23" t="str">
        <x:f>'Cola humana'!AZ18</x:f>
        <x:v>incomplete</x:v>
      </x:c>
      <x:c r="K18" s="23" t="str">
        <x:f>IF('Cola humana'!AO18="","",'Cola humana'!AO18)</x:f>
      </x:c>
      <x:c r="L18" s="23" t="str">
        <x:f>IF('Cola humana'!AQ18="","",'Cola humana'!AQ18)</x:f>
      </x:c>
      <x:c r="M18" s="23" t="str">
        <x:f>'Cola humana'!AY18</x:f>
        <x:v>yes</x:v>
      </x:c>
      <x:c r="N18" s="23" t="str">
        <x:f>'Cola humana'!AW18</x:f>
        <x:v>pending</x:v>
      </x:c>
    </x:row>
    <x:row r="19" ht="42" customHeight="1">
      <x:c r="A19" s="23" t="n">
        <x:f>'Cola humana'!A19</x:f>
        <x:v>18</x:v>
      </x:c>
      <x:c r="B19" s="23" t="str">
        <x:f>'Cola humana'!D19</x:f>
        <x:v>asset:toefl:set-1:part-12:repeat-3</x:v>
      </x:c>
      <x:c r="C19" s="23" t="str">
        <x:f>'Cola humana'!F19</x:f>
        <x:v>Listen and Repeat</x:v>
      </x:c>
      <x:c r="D19" s="23" t="str">
        <x:f>'Cola humana'!I19</x:f>
        <x:v>P3</x:v>
      </x:c>
      <x:c r="E19" s="23" t="str">
        <x:f>'Cola humana'!G19</x:f>
        <x:v>/Users/josedavidduartesilva/Developer/idiomaswl/public/audio/toefl/set-1/repeat-3.mp3</x:v>
      </x:c>
      <x:c r="F19" s="23" t="str">
        <x:f>'Cola humana'!P19</x:f>
        <x:v>stratified_human_confirmation</x:v>
      </x:c>
      <x:c r="G19" s="23" t="str">
        <x:f>IF('Cola humana'!Q19="","",'Cola humana'!Q19)</x:f>
        <x:v>The workers repaired the road after the heavy rain.</x:v>
      </x:c>
      <x:c r="H19" s="23" t="str">
        <x:f>'Cola humana'!R19</x:f>
        <x:v>The workers repaired the road after the heavy rain.</x:v>
      </x:c>
      <x:c r="I19" s="23" t="str">
        <x:f>'Cola humana'!V19</x:f>
        <x:v>not_started</x:v>
      </x:c>
      <x:c r="J19" s="23" t="str">
        <x:f>'Cola humana'!AZ19</x:f>
        <x:v>incomplete</x:v>
      </x:c>
      <x:c r="K19" s="23" t="str">
        <x:f>IF('Cola humana'!AO19="","",'Cola humana'!AO19)</x:f>
      </x:c>
      <x:c r="L19" s="23" t="str">
        <x:f>IF('Cola humana'!AQ19="","",'Cola humana'!AQ19)</x:f>
      </x:c>
      <x:c r="M19" s="23" t="str">
        <x:f>'Cola humana'!AY19</x:f>
        <x:v>yes</x:v>
      </x:c>
      <x:c r="N19" s="23" t="str">
        <x:f>'Cola humana'!AW19</x:f>
        <x:v>pending</x:v>
      </x:c>
    </x:row>
    <x:row r="20" ht="42" customHeight="1">
      <x:c r="A20" s="23" t="n">
        <x:f>'Cola humana'!A20</x:f>
        <x:v>19</x:v>
      </x:c>
      <x:c r="B20" s="23" t="str">
        <x:f>'Cola humana'!D20</x:f>
        <x:v>asset:toefl:set-1:part-12:repeat-4</x:v>
      </x:c>
      <x:c r="C20" s="23" t="str">
        <x:f>'Cola humana'!F20</x:f>
        <x:v>Listen and Repeat</x:v>
      </x:c>
      <x:c r="D20" s="23" t="str">
        <x:f>'Cola humana'!I20</x:f>
        <x:v>P3</x:v>
      </x:c>
      <x:c r="E20" s="23" t="str">
        <x:f>'Cola humana'!G20</x:f>
        <x:v>/Users/josedavidduartesilva/Developer/idiomaswl/public/audio/toefl/set-1/repeat-4.mp3</x:v>
      </x:c>
      <x:c r="F20" s="23" t="str">
        <x:f>'Cola humana'!P20</x:f>
        <x:v>stratified_human_confirmation</x:v>
      </x:c>
      <x:c r="G20" s="23" t="str">
        <x:f>IF('Cola humana'!Q20="","",'Cola humana'!Q20)</x:f>
        <x:v>The professor announced that the deadline had been extended by one week.</x:v>
      </x:c>
      <x:c r="H20" s="23" t="str">
        <x:f>'Cola humana'!R20</x:f>
        <x:v>The professor announced that the deadline had been extended by one week.</x:v>
      </x:c>
      <x:c r="I20" s="23" t="str">
        <x:f>'Cola humana'!V20</x:f>
        <x:v>not_started</x:v>
      </x:c>
      <x:c r="J20" s="23" t="str">
        <x:f>'Cola humana'!AZ20</x:f>
        <x:v>incomplete</x:v>
      </x:c>
      <x:c r="K20" s="23" t="str">
        <x:f>IF('Cola humana'!AO20="","",'Cola humana'!AO20)</x:f>
      </x:c>
      <x:c r="L20" s="23" t="str">
        <x:f>IF('Cola humana'!AQ20="","",'Cola humana'!AQ20)</x:f>
      </x:c>
      <x:c r="M20" s="23" t="str">
        <x:f>'Cola humana'!AY20</x:f>
        <x:v>yes</x:v>
      </x:c>
      <x:c r="N20" s="23" t="str">
        <x:f>'Cola humana'!AW20</x:f>
        <x:v>pending</x:v>
      </x:c>
    </x:row>
    <x:row r="21" ht="42" customHeight="1">
      <x:c r="A21" s="23" t="n">
        <x:f>'Cola humana'!A21</x:f>
        <x:v>20</x:v>
      </x:c>
      <x:c r="B21" s="23" t="str">
        <x:f>'Cola humana'!D21</x:f>
        <x:v>asset:toefl:set-1:part-12:repeat-5</x:v>
      </x:c>
      <x:c r="C21" s="23" t="str">
        <x:f>'Cola humana'!F21</x:f>
        <x:v>Listen and Repeat</x:v>
      </x:c>
      <x:c r="D21" s="23" t="str">
        <x:f>'Cola humana'!I21</x:f>
        <x:v>P3</x:v>
      </x:c>
      <x:c r="E21" s="23" t="str">
        <x:f>'Cola humana'!G21</x:f>
        <x:v>/Users/josedavidduartesilva/Developer/idiomaswl/public/audio/toefl/set-1/repeat-5.mp3</x:v>
      </x:c>
      <x:c r="F21" s="23" t="str">
        <x:f>'Cola humana'!P21</x:f>
        <x:v>stratified_human_confirmation</x:v>
      </x:c>
      <x:c r="G21" s="23" t="str">
        <x:f>IF('Cola humana'!Q21="","",'Cola humana'!Q21)</x:f>
        <x:v>Because the tickets had sold out quickly, the band agreed to perform a second concert.</x:v>
      </x:c>
      <x:c r="H21" s="23" t="str">
        <x:f>'Cola humana'!R21</x:f>
        <x:v>Because the tickets had sold out quickly, the band agreed to perform a second concert.</x:v>
      </x:c>
      <x:c r="I21" s="23" t="str">
        <x:f>'Cola humana'!V21</x:f>
        <x:v>not_started</x:v>
      </x:c>
      <x:c r="J21" s="23" t="str">
        <x:f>'Cola humana'!AZ21</x:f>
        <x:v>incomplete</x:v>
      </x:c>
      <x:c r="K21" s="23" t="str">
        <x:f>IF('Cola humana'!AO21="","",'Cola humana'!AO21)</x:f>
      </x:c>
      <x:c r="L21" s="23" t="str">
        <x:f>IF('Cola humana'!AQ21="","",'Cola humana'!AQ21)</x:f>
      </x:c>
      <x:c r="M21" s="23" t="str">
        <x:f>'Cola humana'!AY21</x:f>
        <x:v>yes</x:v>
      </x:c>
      <x:c r="N21" s="23" t="str">
        <x:f>'Cola humana'!AW21</x:f>
        <x:v>pending</x:v>
      </x:c>
    </x:row>
  </x:sheetData>
  <x:conditionalFormatting sqref="J2:J21">
    <x:cfRule type="expression" dxfId="8" priority="1">
      <x:formula>$J2="complete"</x:formula>
    </x:cfRule>
    <x:cfRule type="expression" dxfId="9" priority="2">
      <x:formula>$J2="incomplete"</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1" hidden="0" customWidth="1"/>
    <x:col min="4" max="4" width="43" hidden="0" customWidth="1"/>
    <x:col min="5" max="5" width="10" hidden="0" customWidth="1"/>
    <x:col min="6" max="6" width="29" hidden="0" customWidth="1"/>
    <x:col min="7" max="7" width="58" hidden="0" customWidth="1"/>
    <x:col min="8" max="8" width="12" hidden="0" customWidth="1"/>
    <x:col min="9" max="9" width="10" hidden="0" customWidth="1"/>
    <x:col min="10" max="10" width="28" hidden="0" customWidth="1"/>
    <x:col min="11" max="11" width="25" hidden="0" customWidth="1"/>
    <x:col min="12" max="12" width="24" hidden="0" customWidth="1"/>
    <x:col min="13" max="13" width="24" hidden="0" customWidth="1"/>
    <x:col min="14" max="14" width="46" hidden="0" customWidth="1"/>
    <x:col min="15" max="15" width="41" hidden="0" customWidth="1"/>
    <x:col min="16" max="16" width="42" hidden="0" customWidth="1"/>
    <x:col min="17" max="17" width="64" hidden="0" customWidth="1"/>
    <x:col min="18" max="18" width="64" hidden="0" customWidth="1"/>
    <x:col min="19" max="19" width="48" hidden="0" customWidth="1"/>
    <x:col min="20" max="20" width="42" hidden="0" customWidth="1"/>
    <x:col min="21" max="21" width="39" hidden="0" customWidth="1"/>
    <x:col min="22" max="22" width="15" hidden="0" customWidth="1"/>
    <x:col min="23" max="23" width="12" hidden="0" customWidth="1"/>
    <x:col min="24" max="24" width="24" hidden="0" customWidth="1"/>
    <x:col min="25" max="25" width="64" hidden="0" customWidth="1"/>
    <x:col min="26" max="26" width="15" hidden="0" customWidth="1"/>
    <x:col min="27" max="27" width="15" hidden="0" customWidth="1"/>
    <x:col min="28" max="28" width="15" hidden="0" customWidth="1"/>
    <x:col min="29" max="29" width="15" hidden="0" customWidth="1"/>
    <x:col min="30" max="30" width="15" hidden="0" customWidth="1"/>
    <x:col min="31" max="31" width="18" hidden="0" customWidth="1"/>
    <x:col min="32" max="32" width="19" hidden="0" customWidth="1"/>
    <x:col min="33" max="33" width="16" hidden="0" customWidth="1"/>
    <x:col min="34" max="34" width="16" hidden="0" customWidth="1"/>
    <x:col min="35" max="35" width="16" hidden="0" customWidth="1"/>
    <x:col min="36" max="36" width="20" hidden="0" customWidth="1"/>
    <x:col min="37" max="37" width="18" hidden="0" customWidth="1"/>
    <x:col min="38" max="38" width="18" hidden="0" customWidth="1"/>
    <x:col min="39" max="39" width="28" hidden="0" customWidth="1"/>
    <x:col min="40" max="40" width="12" hidden="0" customWidth="1"/>
    <x:col min="41" max="41" width="20" hidden="0" customWidth="1"/>
    <x:col min="42" max="42" width="54" hidden="0" customWidth="1"/>
    <x:col min="43" max="43" width="22" hidden="0" customWidth="1"/>
    <x:col min="44" max="44" width="24" hidden="0" customWidth="1"/>
    <x:col min="45" max="45" width="47" hidden="0" customWidth="1"/>
    <x:col min="46" max="46" width="20" hidden="0" customWidth="1"/>
    <x:col min="47" max="47" width="22" hidden="0" customWidth="1"/>
    <x:col min="48" max="48" width="22" hidden="0" customWidth="1"/>
    <x:col min="49" max="49" width="22" hidden="0" customWidth="1"/>
    <x:col min="50" max="50" width="24" hidden="0" customWidth="1"/>
    <x:col min="51" max="51" width="22" hidden="0" customWidth="1"/>
    <x:col min="52" max="52" width="16" hidden="0" customWidth="1"/>
    <x:col min="53" max="53" width="50" hidden="0" customWidth="1"/>
  </x:cols>
  <x:sheetData>
    <x:row r="1" ht="42" customHeight="1">
      <x:c r="A1" s="9" t="str">
        <x:v>audit_order</x:v>
      </x:c>
      <x:c r="B1" s="10" t="str">
        <x:v>batch_id</x:v>
      </x:c>
      <x:c r="C1" s="10" t="str">
        <x:v>calibration</x:v>
      </x:c>
      <x:c r="D1" s="10" t="str">
        <x:v>asset_id</x:v>
      </x:c>
      <x:c r="E1" s="10" t="str">
        <x:v>set_id</x:v>
      </x:c>
      <x:c r="F1" s="10" t="str">
        <x:v>task_type</x:v>
      </x:c>
      <x:c r="G1" s="10" t="str">
        <x:v>audio_path</x:v>
      </x:c>
      <x:c r="H1" s="10" t="str">
        <x:v>duration_sec</x:v>
      </x:c>
      <x:c r="I1" s="10" t="str">
        <x:v>priority</x:v>
      </x:c>
      <x:c r="J1" s="10" t="str">
        <x:v>review_scope</x:v>
      </x:c>
      <x:c r="K1" s="10" t="str">
        <x:v>technical_status</x:v>
      </x:c>
      <x:c r="L1" s="10" t="str">
        <x:v>technical_fail_findings</x:v>
      </x:c>
      <x:c r="M1" s="10" t="str">
        <x:v>technical_warning_findings</x:v>
      </x:c>
      <x:c r="N1" s="10" t="str">
        <x:v>technical_action</x:v>
      </x:c>
      <x:c r="O1" s="10" t="str">
        <x:v>reconciliation_status</x:v>
      </x:c>
      <x:c r="P1" s="10" t="str">
        <x:v>T07_queue_reasons</x:v>
      </x:c>
      <x:c r="Q1" s="10" t="str">
        <x:v>source_candidate</x:v>
      </x:c>
      <x:c r="R1" s="10" t="str">
        <x:v>asr_candidate</x:v>
      </x:c>
      <x:c r="S1" s="10" t="str">
        <x:v>diff_summary</x:v>
      </x:c>
      <x:c r="T1" s="10" t="str">
        <x:v>question_key_status</x:v>
      </x:c>
      <x:c r="U1" s="10" t="str">
        <x:v>linguistic_candidate</x:v>
      </x:c>
      <x:c r="V1" s="10" t="str">
        <x:v>listen_status</x:v>
      </x:c>
      <x:c r="W1" s="10" t="str">
        <x:v>listen_count</x:v>
      </x:c>
      <x:c r="X1" s="10" t="str">
        <x:v>transcript_decision</x:v>
      </x:c>
      <x:c r="Y1" s="10" t="str">
        <x:v>canonical_transcript</x:v>
      </x:c>
      <x:c r="Z1" s="10" t="str">
        <x:v>clarity</x:v>
      </x:c>
      <x:c r="AA1" s="10" t="str">
        <x:v>naturalness</x:v>
      </x:c>
      <x:c r="AB1" s="10" t="str">
        <x:v>prosody</x:v>
      </x:c>
      <x:c r="AC1" s="10" t="str">
        <x:v>pronunciation</x:v>
      </x:c>
      <x:c r="AD1" s="10" t="str">
        <x:v>speed_pauses</x:v>
      </x:c>
      <x:c r="AE1" s="10" t="str">
        <x:v>voice_consistency</x:v>
      </x:c>
      <x:c r="AF1" s="10" t="str">
        <x:v>synthetic_artifacts</x:v>
      </x:c>
      <x:c r="AG1" s="10" t="str">
        <x:v>semantic_cut</x:v>
      </x:c>
      <x:c r="AH1" s="10" t="str">
        <x:v>difficulty_fit</x:v>
      </x:c>
      <x:c r="AI1" s="10" t="str">
        <x:v>task_fit</x:v>
      </x:c>
      <x:c r="AJ1" s="10" t="str">
        <x:v>accent_intelligibility</x:v>
      </x:c>
      <x:c r="AK1" s="10" t="str">
        <x:v>bias_stereotype</x:v>
      </x:c>
      <x:c r="AL1" s="10" t="str">
        <x:v>rights_observation</x:v>
      </x:c>
      <x:c r="AM1" s="10" t="str">
        <x:v>human_finding_ids</x:v>
      </x:c>
      <x:c r="AN1" s="10" t="str">
        <x:v>reuse_class</x:v>
      </x:c>
      <x:c r="AO1" s="10" t="str">
        <x:v>human_decision</x:v>
      </x:c>
      <x:c r="AP1" s="10" t="str">
        <x:v>justification</x:v>
      </x:c>
      <x:c r="AQ1" s="10" t="str">
        <x:v>reviewer_name</x:v>
      </x:c>
      <x:c r="AR1" s="10" t="str">
        <x:v>reviewer_role</x:v>
      </x:c>
      <x:c r="AS1" s="10" t="str">
        <x:v>reviewer_attestation</x:v>
      </x:c>
      <x:c r="AT1" s="10" t="str">
        <x:v>reviewed_at</x:v>
      </x:c>
      <x:c r="AU1" s="10" t="str">
        <x:v>second_reviewer</x:v>
      </x:c>
      <x:c r="AV1" s="10" t="str">
        <x:v>second_review_decision</x:v>
      </x:c>
      <x:c r="AW1" s="10" t="str">
        <x:v>adjudication_status</x:v>
      </x:c>
      <x:c r="AX1" s="10" t="str">
        <x:v>release_status</x:v>
      </x:c>
      <x:c r="AY1" s="10" t="str">
        <x:v>second_review_required</x:v>
      </x:c>
      <x:c r="AZ1" s="10" t="str">
        <x:v>row_complete</x:v>
      </x:c>
      <x:c r="BA1" s="11" t="str">
        <x:v>validation_errors</x:v>
      </x:c>
    </x:row>
    <x:row r="2" ht="36" customHeight="1">
      <x:c r="A2" s="15" t="n">
        <x:v>1</x:v>
      </x:c>
      <x:c r="B2" s="15" t="str">
        <x:v>CAL-01</x:v>
      </x:c>
      <x:c r="C2" s="15" t="str">
        <x:v>yes</x:v>
      </x:c>
      <x:c r="D2" s="15" t="str">
        <x:v>asset:toefl:set-1:part-5:listen-choose-1</x:v>
      </x:c>
      <x:c r="E2" s="15" t="str">
        <x:v>set-1</x:v>
      </x:c>
      <x:c r="F2" s="15" t="str">
        <x:v>Listen and Choose a Response</x:v>
      </x:c>
      <x:c r="G2" s="15" t="str">
        <x:v>/Users/josedavidduartesilva/Developer/idiomaswl/public/audio/toefl/set-1/listen-choose-1.mp3</x:v>
      </x:c>
      <x:c r="H2" s="19" t="n">
        <x:v>3.04</x:v>
      </x:c>
      <x:c r="I2" s="15" t="str">
        <x:v>P1</x:v>
      </x:c>
      <x:c r="J2" s="15" t="str">
        <x:v>100_percent_required_T08</x:v>
      </x:c>
      <x:c r="K2" s="15" t="str">
        <x:v>pass_automated_T06</x:v>
      </x:c>
      <x:c r="L2" s="15" t="str">
        <x:v>none</x:v>
      </x:c>
      <x:c r="M2" s="15" t="str">
        <x:v>none</x:v>
      </x:c>
      <x:c r="N2" s="15" t="str">
        <x:v>conserve_source_technical_candidate</x:v>
      </x:c>
      <x:c r="O2" s="15" t="str">
        <x:v>asr_candidate_recovered_pending_human</x:v>
      </x:c>
      <x:c r="P2" s="15" t="str">
        <x:v>LING-SOURCE-001;LING-STRESS-001</x:v>
      </x:c>
      <x:c r="Q2" s="15" t="str"/>
      <x:c r="R2" s="15" t="str">
        <x:v>Excuse me, could you tell me where the science library is?</x:v>
      </x:c>
      <x:c r="S2" s="15" t="str">
        <x:v>no_source_candidate</x:v>
      </x:c>
      <x:c r="T2" s="15" t="str">
        <x:v>manual_exchange_review_pass_pending_T08</x:v>
      </x:c>
      <x:c r="U2" s="15" t="str">
        <x:v>B_transcript_adjudication_candidate</x:v>
      </x:c>
      <x:c r="V2" s="16" t="str">
        <x:v>not_started</x:v>
      </x:c>
      <x:c r="W2" s="16"/>
      <x:c r="X2" s="16"/>
      <x:c r="Y2" s="16"/>
      <x:c r="Z2" s="16"/>
      <x:c r="AA2" s="16"/>
      <x:c r="AB2" s="16"/>
      <x:c r="AC2" s="16"/>
      <x:c r="AD2" s="16"/>
      <x:c r="AE2" s="16"/>
      <x:c r="AF2" s="16"/>
      <x:c r="AG2" s="16"/>
      <x:c r="AH2" s="16"/>
      <x:c r="AI2" s="16"/>
      <x:c r="AJ2" s="16"/>
      <x:c r="AK2" s="16"/>
      <x:c r="AL2" s="16"/>
      <x:c r="AM2" s="16"/>
      <x:c r="AN2" s="16"/>
      <x:c r="AO2" s="16"/>
      <x:c r="AP2" s="16"/>
      <x:c r="AQ2" s="16"/>
      <x:c r="AR2" s="16"/>
      <x:c r="AS2" s="16"/>
      <x:c r="AT2" s="20"/>
      <x:c r="AU2" s="16"/>
      <x:c r="AV2" s="16"/>
      <x:c r="AW2" s="16" t="str">
        <x:v>pending</x:v>
      </x:c>
      <x:c r="AX2" s="17" t="str">
        <x:v>blocked_not_validated</x:v>
      </x:c>
      <x:c r="AY2" s="18" t="str">
        <x:f>IF(OR(C2="yes",X2="corrected",COUNTIF(Z2:AL2,"major")&gt;0,COUNTIF(Z2:AL2,"blocker")&gt;0,OR(AO2="repair",AO2="segment",AO2="replace",AO2="block")),"yes","no")</x:f>
        <x:v>yes</x:v>
      </x:c>
      <x:c r="AZ2" s="18" t="str">
        <x:f>IF(AND(V2="reviewed",W2&gt;=1,X2&lt;&gt;"",Y2&lt;&gt;"",COUNTA(Z2:AL2)=13,AM2&lt;&gt;"",AN2&lt;&gt;"",AO2&lt;&gt;"",AP2&lt;&gt;"",AQ2&lt;&gt;"",AR2&lt;&gt;"",AS2="I_listened_at_1x_and_completed_all_required_fields",AT2&lt;&gt;"",AW2="adjudicated",OR(AY2="no",AND(AU2&lt;&gt;"",AV2&lt;&gt;""))),"complete","incomplete")</x:f>
        <x:v>incomplete</x:v>
      </x:c>
      <x:c r="BA2" s="18" t="str">
        <x:f>IF(AZ2="complete","none","faltan campos humanos, adjudicación o segunda revisión")</x:f>
        <x:v>faltan campos humanos, adjudicación o segunda revisión</x:v>
      </x:c>
    </x:row>
    <x:row r="3" ht="36" customHeight="1">
      <x:c r="A3" s="15" t="n">
        <x:v>2</x:v>
      </x:c>
      <x:c r="B3" s="15" t="str">
        <x:v>CAL-01</x:v>
      </x:c>
      <x:c r="C3" s="15" t="str">
        <x:v>yes</x:v>
      </x:c>
      <x:c r="D3" s="15" t="str">
        <x:v>asset:toefl:set-1:part-5:listen-choose-2</x:v>
      </x:c>
      <x:c r="E3" s="15" t="str">
        <x:v>set-1</x:v>
      </x:c>
      <x:c r="F3" s="15" t="str">
        <x:v>Listen and Choose a Response</x:v>
      </x:c>
      <x:c r="G3" s="15" t="str">
        <x:v>/Users/josedavidduartesilva/Developer/idiomaswl/public/audio/toefl/set-1/listen-choose-2.mp3</x:v>
      </x:c>
      <x:c r="H3" s="19" t="n">
        <x:v>3.2</x:v>
      </x:c>
      <x:c r="I3" s="15" t="str">
        <x:v>P1</x:v>
      </x:c>
      <x:c r="J3" s="15" t="str">
        <x:v>100_percent_required_T08</x:v>
      </x:c>
      <x:c r="K3" s="15" t="str">
        <x:v>pass_with_actionable_warning</x:v>
      </x:c>
      <x:c r="L3" s="15" t="str">
        <x:v>none</x:v>
      </x:c>
      <x:c r="M3" s="15" t="str">
        <x:v>TECH-CUT-001;TECH-LDN-003</x:v>
      </x:c>
      <x:c r="N3" s="15" t="str">
        <x:v>review_warning_in_T08_before_conserve</x:v>
      </x:c>
      <x:c r="O3" s="15" t="str">
        <x:v>asr_candidate_recovered_pending_human</x:v>
      </x:c>
      <x:c r="P3" s="15" t="str">
        <x:v>LING-SOURCE-001;LING-STRESS-001</x:v>
      </x:c>
      <x:c r="Q3" s="15" t="str"/>
      <x:c r="R3" s="15" t="str">
        <x:v>We're all going out for dinner on Saturday. Would you like to come?</x:v>
      </x:c>
      <x:c r="S3" s="15" t="str">
        <x:v>no_source_candidate</x:v>
      </x:c>
      <x:c r="T3" s="15" t="str">
        <x:v>manual_exchange_review_pass_pending_T08</x:v>
      </x:c>
      <x:c r="U3" s="15" t="str">
        <x:v>B_transcript_adjudication_candidate</x:v>
      </x:c>
      <x:c r="V3" s="16" t="str">
        <x:v>not_started</x:v>
      </x:c>
      <x:c r="W3" s="16"/>
      <x:c r="X3" s="16"/>
      <x:c r="Y3" s="16"/>
      <x:c r="Z3" s="16"/>
      <x:c r="AA3" s="16"/>
      <x:c r="AB3" s="16"/>
      <x:c r="AC3" s="16"/>
      <x:c r="AD3" s="16"/>
      <x:c r="AE3" s="16"/>
      <x:c r="AF3" s="16"/>
      <x:c r="AG3" s="16"/>
      <x:c r="AH3" s="16"/>
      <x:c r="AI3" s="16"/>
      <x:c r="AJ3" s="16"/>
      <x:c r="AK3" s="16"/>
      <x:c r="AL3" s="16"/>
      <x:c r="AM3" s="16"/>
      <x:c r="AN3" s="16"/>
      <x:c r="AO3" s="16"/>
      <x:c r="AP3" s="16"/>
      <x:c r="AQ3" s="16"/>
      <x:c r="AR3" s="16"/>
      <x:c r="AS3" s="16"/>
      <x:c r="AT3" s="20"/>
      <x:c r="AU3" s="16"/>
      <x:c r="AV3" s="16"/>
      <x:c r="AW3" s="16" t="str">
        <x:v>pending</x:v>
      </x:c>
      <x:c r="AX3" s="17" t="str">
        <x:v>blocked_not_validated</x:v>
      </x:c>
      <x:c r="AY3" s="18" t="str">
        <x:f>IF(OR(C3="yes",X3="corrected",COUNTIF(Z3:AL3,"major")&gt;0,COUNTIF(Z3:AL3,"blocker")&gt;0,OR(AO3="repair",AO3="segment",AO3="replace",AO3="block")),"yes","no")</x:f>
        <x:v>yes</x:v>
      </x:c>
      <x:c r="AZ3" s="18" t="str">
        <x:f>IF(AND(V3="reviewed",W3&gt;=1,X3&lt;&gt;"",Y3&lt;&gt;"",COUNTA(Z3:AL3)=13,AM3&lt;&gt;"",AN3&lt;&gt;"",AO3&lt;&gt;"",AP3&lt;&gt;"",AQ3&lt;&gt;"",AR3&lt;&gt;"",AS3="I_listened_at_1x_and_completed_all_required_fields",AT3&lt;&gt;"",AW3="adjudicated",OR(AY3="no",AND(AU3&lt;&gt;"",AV3&lt;&gt;""))),"complete","incomplete")</x:f>
        <x:v>incomplete</x:v>
      </x:c>
      <x:c r="BA3" s="18" t="str">
        <x:f>IF(AZ3="complete","none","faltan campos humanos, adjudicación o segunda revisión")</x:f>
        <x:v>faltan campos humanos, adjudicación o segunda revisión</x:v>
      </x:c>
    </x:row>
    <x:row r="4" ht="36" customHeight="1">
      <x:c r="A4" s="15" t="n">
        <x:v>3</x:v>
      </x:c>
      <x:c r="B4" s="15" t="str">
        <x:v>CAL-01</x:v>
      </x:c>
      <x:c r="C4" s="15" t="str">
        <x:v>yes</x:v>
      </x:c>
      <x:c r="D4" s="15" t="str">
        <x:v>asset:toefl:set-1:part-5:listen-choose-3</x:v>
      </x:c>
      <x:c r="E4" s="15" t="str">
        <x:v>set-1</x:v>
      </x:c>
      <x:c r="F4" s="15" t="str">
        <x:v>Listen and Choose a Response</x:v>
      </x:c>
      <x:c r="G4" s="15" t="str">
        <x:v>/Users/josedavidduartesilva/Developer/idiomaswl/public/audio/toefl/set-1/listen-choose-3.mp3</x:v>
      </x:c>
      <x:c r="H4" s="19" t="n">
        <x:v>3.36</x:v>
      </x:c>
      <x:c r="I4" s="15" t="str">
        <x:v>P1</x:v>
      </x:c>
      <x:c r="J4" s="15" t="str">
        <x:v>100_percent_required_T08</x:v>
      </x:c>
      <x:c r="K4" s="15" t="str">
        <x:v>pass_automated_T06</x:v>
      </x:c>
      <x:c r="L4" s="15" t="str">
        <x:v>none</x:v>
      </x:c>
      <x:c r="M4" s="15" t="str">
        <x:v>none</x:v>
      </x:c>
      <x:c r="N4" s="15" t="str">
        <x:v>conserve_source_technical_candidate</x:v>
      </x:c>
      <x:c r="O4" s="15" t="str">
        <x:v>asr_candidate_recovered_pending_human</x:v>
      </x:c>
      <x:c r="P4" s="15" t="str">
        <x:v>LING-SOURCE-001;LING-STRESS-001</x:v>
      </x:c>
      <x:c r="Q4" s="15" t="str"/>
      <x:c r="R4" s="15" t="str">
        <x:v>Oh no, I forgot my umbrella and it's pouring outside.</x:v>
      </x:c>
      <x:c r="S4" s="15" t="str">
        <x:v>no_source_candidate</x:v>
      </x:c>
      <x:c r="T4" s="15" t="str">
        <x:v>manual_exchange_review_pass_pending_T08</x:v>
      </x:c>
      <x:c r="U4" s="15" t="str">
        <x:v>B_transcript_adjudication_candidate</x:v>
      </x:c>
      <x:c r="V4" s="16" t="str">
        <x:v>not_started</x:v>
      </x:c>
      <x:c r="W4" s="16"/>
      <x:c r="X4" s="16"/>
      <x:c r="Y4" s="16"/>
      <x:c r="Z4" s="16"/>
      <x:c r="AA4" s="16"/>
      <x:c r="AB4" s="16"/>
      <x:c r="AC4" s="16"/>
      <x:c r="AD4" s="16"/>
      <x:c r="AE4" s="16"/>
      <x:c r="AF4" s="16"/>
      <x:c r="AG4" s="16"/>
      <x:c r="AH4" s="16"/>
      <x:c r="AI4" s="16"/>
      <x:c r="AJ4" s="16"/>
      <x:c r="AK4" s="16"/>
      <x:c r="AL4" s="16"/>
      <x:c r="AM4" s="16"/>
      <x:c r="AN4" s="16"/>
      <x:c r="AO4" s="16"/>
      <x:c r="AP4" s="16"/>
      <x:c r="AQ4" s="16"/>
      <x:c r="AR4" s="16"/>
      <x:c r="AS4" s="16"/>
      <x:c r="AT4" s="20"/>
      <x:c r="AU4" s="16"/>
      <x:c r="AV4" s="16"/>
      <x:c r="AW4" s="16" t="str">
        <x:v>pending</x:v>
      </x:c>
      <x:c r="AX4" s="17" t="str">
        <x:v>blocked_not_validated</x:v>
      </x:c>
      <x:c r="AY4" s="18" t="str">
        <x:f>IF(OR(C4="yes",X4="corrected",COUNTIF(Z4:AL4,"major")&gt;0,COUNTIF(Z4:AL4,"blocker")&gt;0,OR(AO4="repair",AO4="segment",AO4="replace",AO4="block")),"yes","no")</x:f>
        <x:v>yes</x:v>
      </x:c>
      <x:c r="AZ4" s="18" t="str">
        <x:f>IF(AND(V4="reviewed",W4&gt;=1,X4&lt;&gt;"",Y4&lt;&gt;"",COUNTA(Z4:AL4)=13,AM4&lt;&gt;"",AN4&lt;&gt;"",AO4&lt;&gt;"",AP4&lt;&gt;"",AQ4&lt;&gt;"",AR4&lt;&gt;"",AS4="I_listened_at_1x_and_completed_all_required_fields",AT4&lt;&gt;"",AW4="adjudicated",OR(AY4="no",AND(AU4&lt;&gt;"",AV4&lt;&gt;""))),"complete","incomplete")</x:f>
        <x:v>incomplete</x:v>
      </x:c>
      <x:c r="BA4" s="18" t="str">
        <x:f>IF(AZ4="complete","none","faltan campos humanos, adjudicación o segunda revisión")</x:f>
        <x:v>faltan campos humanos, adjudicación o segunda revisión</x:v>
      </x:c>
    </x:row>
    <x:row r="5" ht="36" customHeight="1">
      <x:c r="A5" s="15" t="n">
        <x:v>4</x:v>
      </x:c>
      <x:c r="B5" s="15" t="str">
        <x:v>CAL-01</x:v>
      </x:c>
      <x:c r="C5" s="15" t="str">
        <x:v>yes</x:v>
      </x:c>
      <x:c r="D5" s="15" t="str">
        <x:v>asset:toefl:set-1:part-5:listen-choose-4</x:v>
      </x:c>
      <x:c r="E5" s="15" t="str">
        <x:v>set-1</x:v>
      </x:c>
      <x:c r="F5" s="15" t="str">
        <x:v>Listen and Choose a Response</x:v>
      </x:c>
      <x:c r="G5" s="15" t="str">
        <x:v>/Users/josedavidduartesilva/Developer/idiomaswl/public/audio/toefl/set-1/listen-choose-4.mp3</x:v>
      </x:c>
      <x:c r="H5" s="19" t="n">
        <x:v>2.96</x:v>
      </x:c>
      <x:c r="I5" s="15" t="str">
        <x:v>P1</x:v>
      </x:c>
      <x:c r="J5" s="15" t="str">
        <x:v>100_percent_required_T08</x:v>
      </x:c>
      <x:c r="K5" s="15" t="str">
        <x:v>pass_automated_T06</x:v>
      </x:c>
      <x:c r="L5" s="15" t="str">
        <x:v>none</x:v>
      </x:c>
      <x:c r="M5" s="15" t="str">
        <x:v>none</x:v>
      </x:c>
      <x:c r="N5" s="15" t="str">
        <x:v>conserve_source_technical_candidate</x:v>
      </x:c>
      <x:c r="O5" s="15" t="str">
        <x:v>asr_candidate_recovered_pending_human</x:v>
      </x:c>
      <x:c r="P5" s="15" t="str">
        <x:v>LING-SOURCE-001;LING-STRESS-001</x:v>
      </x:c>
      <x:c r="Q5" s="15" t="str"/>
      <x:c r="R5" s="15" t="str">
        <x:v>Could you send me the information about next week's workshop?</x:v>
      </x:c>
      <x:c r="S5" s="15" t="str">
        <x:v>no_source_candidate</x:v>
      </x:c>
      <x:c r="T5" s="15" t="str">
        <x:v>manual_exchange_review_pass_pending_T08</x:v>
      </x:c>
      <x:c r="U5" s="15" t="str">
        <x:v>B_transcript_adjudication_candidate</x:v>
      </x:c>
      <x:c r="V5" s="16" t="str">
        <x:v>not_started</x:v>
      </x:c>
      <x:c r="W5" s="16"/>
      <x:c r="X5" s="16"/>
      <x:c r="Y5" s="16"/>
      <x:c r="Z5" s="16"/>
      <x:c r="AA5" s="16"/>
      <x:c r="AB5" s="16"/>
      <x:c r="AC5" s="16"/>
      <x:c r="AD5" s="16"/>
      <x:c r="AE5" s="16"/>
      <x:c r="AF5" s="16"/>
      <x:c r="AG5" s="16"/>
      <x:c r="AH5" s="16"/>
      <x:c r="AI5" s="16"/>
      <x:c r="AJ5" s="16"/>
      <x:c r="AK5" s="16"/>
      <x:c r="AL5" s="16"/>
      <x:c r="AM5" s="16"/>
      <x:c r="AN5" s="16"/>
      <x:c r="AO5" s="16"/>
      <x:c r="AP5" s="16"/>
      <x:c r="AQ5" s="16"/>
      <x:c r="AR5" s="16"/>
      <x:c r="AS5" s="16"/>
      <x:c r="AT5" s="20"/>
      <x:c r="AU5" s="16"/>
      <x:c r="AV5" s="16"/>
      <x:c r="AW5" s="16" t="str">
        <x:v>pending</x:v>
      </x:c>
      <x:c r="AX5" s="17" t="str">
        <x:v>blocked_not_validated</x:v>
      </x:c>
      <x:c r="AY5" s="18" t="str">
        <x:f>IF(OR(C5="yes",X5="corrected",COUNTIF(Z5:AL5,"major")&gt;0,COUNTIF(Z5:AL5,"blocker")&gt;0,OR(AO5="repair",AO5="segment",AO5="replace",AO5="block")),"yes","no")</x:f>
        <x:v>yes</x:v>
      </x:c>
      <x:c r="AZ5" s="18" t="str">
        <x:f>IF(AND(V5="reviewed",W5&gt;=1,X5&lt;&gt;"",Y5&lt;&gt;"",COUNTA(Z5:AL5)=13,AM5&lt;&gt;"",AN5&lt;&gt;"",AO5&lt;&gt;"",AP5&lt;&gt;"",AQ5&lt;&gt;"",AR5&lt;&gt;"",AS5="I_listened_at_1x_and_completed_all_required_fields",AT5&lt;&gt;"",AW5="adjudicated",OR(AY5="no",AND(AU5&lt;&gt;"",AV5&lt;&gt;""))),"complete","incomplete")</x:f>
        <x:v>incomplete</x:v>
      </x:c>
      <x:c r="BA5" s="18" t="str">
        <x:f>IF(AZ5="complete","none","faltan campos humanos, adjudicación o segunda revisión")</x:f>
        <x:v>faltan campos humanos, adjudicación o segunda revisión</x:v>
      </x:c>
    </x:row>
    <x:row r="6" ht="36" customHeight="1">
      <x:c r="A6" s="15" t="n">
        <x:v>5</x:v>
      </x:c>
      <x:c r="B6" s="15" t="str">
        <x:v>CAL-01</x:v>
      </x:c>
      <x:c r="C6" s="15" t="str">
        <x:v>yes</x:v>
      </x:c>
      <x:c r="D6" s="15" t="str">
        <x:v>asset:toefl:set-1:part-5:listen-choose-5</x:v>
      </x:c>
      <x:c r="E6" s="15" t="str">
        <x:v>set-1</x:v>
      </x:c>
      <x:c r="F6" s="15" t="str">
        <x:v>Listen and Choose a Response</x:v>
      </x:c>
      <x:c r="G6" s="15" t="str">
        <x:v>/Users/josedavidduartesilva/Developer/idiomaswl/public/audio/toefl/set-1/listen-choose-5.mp3</x:v>
      </x:c>
      <x:c r="H6" s="19" t="n">
        <x:v>2.96</x:v>
      </x:c>
      <x:c r="I6" s="15" t="str">
        <x:v>P1</x:v>
      </x:c>
      <x:c r="J6" s="15" t="str">
        <x:v>100_percent_required_T08</x:v>
      </x:c>
      <x:c r="K6" s="15" t="str">
        <x:v>pass_automated_T06</x:v>
      </x:c>
      <x:c r="L6" s="15" t="str">
        <x:v>none</x:v>
      </x:c>
      <x:c r="M6" s="15" t="str">
        <x:v>none</x:v>
      </x:c>
      <x:c r="N6" s="15" t="str">
        <x:v>conserve_source_technical_candidate</x:v>
      </x:c>
      <x:c r="O6" s="15" t="str">
        <x:v>asr_candidate_recovered_pending_human</x:v>
      </x:c>
      <x:c r="P6" s="15" t="str">
        <x:v>LING-SOURCE-001;LING-STRESS-001;LING-DUP-001</x:v>
      </x:c>
      <x:c r="Q6" s="15" t="str"/>
      <x:c r="R6" s="15" t="str">
        <x:v>You look really cheerful today, did something good happen?</x:v>
      </x:c>
      <x:c r="S6" s="15" t="str">
        <x:v>no_source_candidate</x:v>
      </x:c>
      <x:c r="T6" s="15" t="str">
        <x:v>manual_exchange_review_pass_pending_T08</x:v>
      </x:c>
      <x:c r="U6" s="15" t="str">
        <x:v>B_transcript_adjudication_candidate</x:v>
      </x:c>
      <x:c r="V6" s="16" t="str">
        <x:v>not_started</x:v>
      </x:c>
      <x:c r="W6" s="16"/>
      <x:c r="X6" s="16"/>
      <x:c r="Y6" s="16"/>
      <x:c r="Z6" s="16"/>
      <x:c r="AA6" s="16"/>
      <x:c r="AB6" s="16"/>
      <x:c r="AC6" s="16"/>
      <x:c r="AD6" s="16"/>
      <x:c r="AE6" s="16"/>
      <x:c r="AF6" s="16"/>
      <x:c r="AG6" s="16"/>
      <x:c r="AH6" s="16"/>
      <x:c r="AI6" s="16"/>
      <x:c r="AJ6" s="16"/>
      <x:c r="AK6" s="16"/>
      <x:c r="AL6" s="16"/>
      <x:c r="AM6" s="16"/>
      <x:c r="AN6" s="16"/>
      <x:c r="AO6" s="16"/>
      <x:c r="AP6" s="16"/>
      <x:c r="AQ6" s="16"/>
      <x:c r="AR6" s="16"/>
      <x:c r="AS6" s="16"/>
      <x:c r="AT6" s="20"/>
      <x:c r="AU6" s="16"/>
      <x:c r="AV6" s="16"/>
      <x:c r="AW6" s="16" t="str">
        <x:v>pending</x:v>
      </x:c>
      <x:c r="AX6" s="17" t="str">
        <x:v>blocked_not_validated</x:v>
      </x:c>
      <x:c r="AY6" s="18" t="str">
        <x:f>IF(OR(C6="yes",X6="corrected",COUNTIF(Z6:AL6,"major")&gt;0,COUNTIF(Z6:AL6,"blocker")&gt;0,OR(AO6="repair",AO6="segment",AO6="replace",AO6="block")),"yes","no")</x:f>
        <x:v>yes</x:v>
      </x:c>
      <x:c r="AZ6" s="18" t="str">
        <x:f>IF(AND(V6="reviewed",W6&gt;=1,X6&lt;&gt;"",Y6&lt;&gt;"",COUNTA(Z6:AL6)=13,AM6&lt;&gt;"",AN6&lt;&gt;"",AO6&lt;&gt;"",AP6&lt;&gt;"",AQ6&lt;&gt;"",AR6&lt;&gt;"",AS6="I_listened_at_1x_and_completed_all_required_fields",AT6&lt;&gt;"",AW6="adjudicated",OR(AY6="no",AND(AU6&lt;&gt;"",AV6&lt;&gt;""))),"complete","incomplete")</x:f>
        <x:v>incomplete</x:v>
      </x:c>
      <x:c r="BA6" s="18" t="str">
        <x:f>IF(AZ6="complete","none","faltan campos humanos, adjudicación o segunda revisión")</x:f>
        <x:v>faltan campos humanos, adjudicación o segunda revisión</x:v>
      </x:c>
    </x:row>
    <x:row r="7" ht="36" customHeight="1">
      <x:c r="A7" s="15" t="n">
        <x:v>6</x:v>
      </x:c>
      <x:c r="B7" s="15" t="str">
        <x:v>CAL-01</x:v>
      </x:c>
      <x:c r="C7" s="15" t="str">
        <x:v>yes</x:v>
      </x:c>
      <x:c r="D7" s="15" t="str">
        <x:v>asset:toefl:set-1:part-6:conversation</x:v>
      </x:c>
      <x:c r="E7" s="15" t="str">
        <x:v>set-1</x:v>
      </x:c>
      <x:c r="F7" s="15" t="str">
        <x:v>Listen to a Conversation</x:v>
      </x:c>
      <x:c r="G7" s="15" t="str">
        <x:v>/Users/josedavidduartesilva/Developer/idiomaswl/public/audio/toefl/set-1/conversation.mp3</x:v>
      </x:c>
      <x:c r="H7" s="19" t="n">
        <x:v>64.4</x:v>
      </x:c>
      <x:c r="I7" s="15" t="str">
        <x:v>P1</x:v>
      </x:c>
      <x:c r="J7" s="15" t="str">
        <x:v>100_percent_required_T08_T15</x:v>
      </x:c>
      <x:c r="K7" s="15" t="str">
        <x:v>pass_with_actionable_warning</x:v>
      </x:c>
      <x:c r="L7" s="15" t="str">
        <x:v>none</x:v>
      </x:c>
      <x:c r="M7" s="15" t="str">
        <x:v>TECH-PEAK-003</x:v>
      </x:c>
      <x:c r="N7" s="15" t="str">
        <x:v>review_warning_in_T08_before_conserve</x:v>
      </x:c>
      <x:c r="O7" s="15" t="str">
        <x:v>source_material_diff_pending_human</x:v>
      </x:c>
      <x:c r="P7" s="15" t="str">
        <x:v>LING-DIFF-001;LING-CRIT-001;LING-LEN-001</x:v>
      </x:c>
      <x:c r="Q7" s="15" t="str">
        <x:v>MAN: Have you decided which elective you're taking next term?
WOMAN: I'm stuck between two, actually. There's "Introduction to Psychology," which sounds really interesting, and "Public Speaking," which I know I need but am kind of dreading.
MAN: Why are you dreading public speaking?
WOMAN: I get really nervous in front of people. But that's exactly why I feel like I should take it — I'll have to give presentations in almost every career, and I never get better by avoiding it.
MAN: That's a mature way to look at it. Psychology would probably be more enjoyable, but public speaking might be more useful in the long run.
WOMAN: Right. And a friend who took the public speaking course last year said the teacher is really supportive — you start with tiny, low-pressure exercises and build up gradually. It's not like you have to give a big speech on day one.
MAN: That does sound less scary. Honestly, I might take it too. I could use the practice.
WOMAN: You should! It'd be easier with a friend in the class. Okay, you've helped me decide — I'll sign up for public speaking. I can always take psychology another term.</x:v>
      </x:c>
      <x:c r="R7" s="15" t="str">
        <x:v>Have you decided which elective you're taking next term? I'm stuck between two, actually. There's introduction to psychology, which sounds really interesting. And public speaking, which I know I need, but I'm kind of dreading. Why are you dreading public speaking? I get really nervous in front of people, but that's exactly why I feel like I should take it. I'll have to give presentations in almost every career, and I never get better by avoiding it. That's a mature way to look at it. Psychology would probably be more enjoyable, but public speaking might be more useful in the long run. Right. And a friend who took the public speaking course last year said the teacher is really supportive. You start with tiny, low pressure exercises and build up gradually. It's not like you have to give a big speech on day one. That does sound less scary. Honestly, I might take it too. I could use the practice. You should. It'd be easier with a friend in the class. Okay, you've helped me decide. I'll sign up for public speaking. I can always take psychology and other terms.</x:v>
      </x:c>
      <x:c r="S7" s="15" t="str">
        <x:v>I:i | I:and | S:another→other | S:term→terms</x:v>
      </x:c>
      <x:c r="T7" s="15" t="str">
        <x:v>source_contract_preserved_subject_to_T08</x:v>
      </x:c>
      <x:c r="U7" s="15" t="str">
        <x:v>C_linguistic_segment_or_reframe_candidate</x:v>
      </x:c>
      <x:c r="V7" s="16" t="str">
        <x:v>not_started</x:v>
      </x:c>
      <x:c r="W7" s="16"/>
      <x:c r="X7" s="16"/>
      <x:c r="Y7" s="16"/>
      <x:c r="Z7" s="16"/>
      <x:c r="AA7" s="16"/>
      <x:c r="AB7" s="16"/>
      <x:c r="AC7" s="16"/>
      <x:c r="AD7" s="16"/>
      <x:c r="AE7" s="16"/>
      <x:c r="AF7" s="16"/>
      <x:c r="AG7" s="16"/>
      <x:c r="AH7" s="16"/>
      <x:c r="AI7" s="16"/>
      <x:c r="AJ7" s="16"/>
      <x:c r="AK7" s="16"/>
      <x:c r="AL7" s="16"/>
      <x:c r="AM7" s="16"/>
      <x:c r="AN7" s="16"/>
      <x:c r="AO7" s="16"/>
      <x:c r="AP7" s="16"/>
      <x:c r="AQ7" s="16"/>
      <x:c r="AR7" s="16"/>
      <x:c r="AS7" s="16"/>
      <x:c r="AT7" s="20"/>
      <x:c r="AU7" s="16"/>
      <x:c r="AV7" s="16"/>
      <x:c r="AW7" s="16" t="str">
        <x:v>pending</x:v>
      </x:c>
      <x:c r="AX7" s="17" t="str">
        <x:v>blocked_not_validated</x:v>
      </x:c>
      <x:c r="AY7" s="18" t="str">
        <x:f>IF(OR(C7="yes",X7="corrected",COUNTIF(Z7:AL7,"major")&gt;0,COUNTIF(Z7:AL7,"blocker")&gt;0,OR(AO7="repair",AO7="segment",AO7="replace",AO7="block")),"yes","no")</x:f>
        <x:v>yes</x:v>
      </x:c>
      <x:c r="AZ7" s="18" t="str">
        <x:f>IF(AND(V7="reviewed",W7&gt;=1,X7&lt;&gt;"",Y7&lt;&gt;"",COUNTA(Z7:AL7)=13,AM7&lt;&gt;"",AN7&lt;&gt;"",AO7&lt;&gt;"",AP7&lt;&gt;"",AQ7&lt;&gt;"",AR7&lt;&gt;"",AS7="I_listened_at_1x_and_completed_all_required_fields",AT7&lt;&gt;"",AW7="adjudicated",OR(AY7="no",AND(AU7&lt;&gt;"",AV7&lt;&gt;""))),"complete","incomplete")</x:f>
        <x:v>incomplete</x:v>
      </x:c>
      <x:c r="BA7" s="18" t="str">
        <x:f>IF(AZ7="complete","none","faltan campos humanos, adjudicación o segunda revisión")</x:f>
        <x:v>faltan campos humanos, adjudicación o segunda revisión</x:v>
      </x:c>
    </x:row>
    <x:row r="8" ht="36" customHeight="1">
      <x:c r="A8" s="15" t="n">
        <x:v>7</x:v>
      </x:c>
      <x:c r="B8" s="15" t="str">
        <x:v>CAL-01</x:v>
      </x:c>
      <x:c r="C8" s="15" t="str">
        <x:v>yes</x:v>
      </x:c>
      <x:c r="D8" s="15" t="str">
        <x:v>asset:toefl:set-1:part-7:announcement</x:v>
      </x:c>
      <x:c r="E8" s="15" t="str">
        <x:v>set-1</x:v>
      </x:c>
      <x:c r="F8" s="15" t="str">
        <x:v>Listen to an Announcement</x:v>
      </x:c>
      <x:c r="G8" s="15" t="str">
        <x:v>/Users/josedavidduartesilva/Developer/idiomaswl/public/audio/toefl/set-1/announcement.mp3</x:v>
      </x:c>
      <x:c r="H8" s="19" t="n">
        <x:v>52.88</x:v>
      </x:c>
      <x:c r="I8" s="15" t="str">
        <x:v>P1</x:v>
      </x:c>
      <x:c r="J8" s="15" t="str">
        <x:v>100_percent_required_T08_T15</x:v>
      </x:c>
      <x:c r="K8" s="15" t="str">
        <x:v>pass_automated_T06</x:v>
      </x:c>
      <x:c r="L8" s="15" t="str">
        <x:v>none</x:v>
      </x:c>
      <x:c r="M8" s="15" t="str">
        <x:v>none</x:v>
      </x:c>
      <x:c r="N8" s="15" t="str">
        <x:v>conserve_source_technical_candidate</x:v>
      </x:c>
      <x:c r="O8" s="15" t="str">
        <x:v>source_minor_diff_supported_pending_human</x:v>
      </x:c>
      <x:c r="P8" s="15" t="str">
        <x:v>LING-DIFF-001;LING-LEN-001</x:v>
      </x:c>
      <x:c r="Q8" s="15" t="str">
        <x:v>Good morning, students. This is an announcement about the campus cafeteria. Starting next Monday, we are introducing a number of changes based on the feedback many of you gave in last term's survey. First, we're extending our opening hours: the cafeteria will now stay open until nine p.m. on weekdays, so those of you studying late can still get a hot meal.
Second, we're expanding our vegetarian and vegan options — there will be at least three plant-based main dishes available at every meal. Third, to reduce waste, we're switching to reusable plates and cups for anyone eating in; disposable containers will only be given to those taking food away. We'll have a small deposit system for takeaway containers, which you get back when you return them. We hope these changes make the cafeteria a better place for everyone. Thank you for your feedback — it really does make a difference.</x:v>
      </x:c>
      <x:c r="R8" s="15" t="str">
        <x:v>Good morning, students. This is an announcement about the campus cafeteria. Starting next Monday, we are introducing a number of changes based on the feedback many of you gave in last term survey. First, we're extending our opening hours. The cafeteria will now stay open until 9 PM on weekdays, so those of you studying late can still get a hot meal. Second, we're expanding our vegetarian and vegan options. There will be at least three plant-based main dishes available at every meal. Third, to reduce waste, we're switching to reusable plates and cups for anyone eating in. Disposable containers will only be given to those taking food away. We'll have a small deposit system for takeaway containers, which you get back when you return them. We hope these changes make the cafeteria a better place for everyone. Thank you for your feedback. It really does make a difference.</x:v>
      </x:c>
      <x:c r="S8" s="15" t="str">
        <x:v>D:is | D:p | S:m→pm</x:v>
      </x:c>
      <x:c r="T8" s="15" t="str">
        <x:v>source_contract_preserved_subject_to_T08</x:v>
      </x:c>
      <x:c r="U8" s="15" t="str">
        <x:v>C_linguistic_segment_or_reframe_candidate</x:v>
      </x:c>
      <x:c r="V8" s="16" t="str">
        <x:v>not_started</x:v>
      </x:c>
      <x:c r="W8" s="16"/>
      <x:c r="X8" s="16"/>
      <x:c r="Y8" s="16"/>
      <x:c r="Z8" s="16"/>
      <x:c r="AA8" s="16"/>
      <x:c r="AB8" s="16"/>
      <x:c r="AC8" s="16"/>
      <x:c r="AD8" s="16"/>
      <x:c r="AE8" s="16"/>
      <x:c r="AF8" s="16"/>
      <x:c r="AG8" s="16"/>
      <x:c r="AH8" s="16"/>
      <x:c r="AI8" s="16"/>
      <x:c r="AJ8" s="16"/>
      <x:c r="AK8" s="16"/>
      <x:c r="AL8" s="16"/>
      <x:c r="AM8" s="16"/>
      <x:c r="AN8" s="16"/>
      <x:c r="AO8" s="16"/>
      <x:c r="AP8" s="16"/>
      <x:c r="AQ8" s="16"/>
      <x:c r="AR8" s="16"/>
      <x:c r="AS8" s="16"/>
      <x:c r="AT8" s="20"/>
      <x:c r="AU8" s="16"/>
      <x:c r="AV8" s="16"/>
      <x:c r="AW8" s="16" t="str">
        <x:v>pending</x:v>
      </x:c>
      <x:c r="AX8" s="17" t="str">
        <x:v>blocked_not_validated</x:v>
      </x:c>
      <x:c r="AY8" s="18" t="str">
        <x:f>IF(OR(C8="yes",X8="corrected",COUNTIF(Z8:AL8,"major")&gt;0,COUNTIF(Z8:AL8,"blocker")&gt;0,OR(AO8="repair",AO8="segment",AO8="replace",AO8="block")),"yes","no")</x:f>
        <x:v>yes</x:v>
      </x:c>
      <x:c r="AZ8" s="18" t="str">
        <x:f>IF(AND(V8="reviewed",W8&gt;=1,X8&lt;&gt;"",Y8&lt;&gt;"",COUNTA(Z8:AL8)=13,AM8&lt;&gt;"",AN8&lt;&gt;"",AO8&lt;&gt;"",AP8&lt;&gt;"",AQ8&lt;&gt;"",AR8&lt;&gt;"",AS8="I_listened_at_1x_and_completed_all_required_fields",AT8&lt;&gt;"",AW8="adjudicated",OR(AY8="no",AND(AU8&lt;&gt;"",AV8&lt;&gt;""))),"complete","incomplete")</x:f>
        <x:v>incomplete</x:v>
      </x:c>
      <x:c r="BA8" s="18" t="str">
        <x:f>IF(AZ8="complete","none","faltan campos humanos, adjudicación o segunda revisión")</x:f>
        <x:v>faltan campos humanos, adjudicación o segunda revisión</x:v>
      </x:c>
    </x:row>
    <x:row r="9" ht="36" customHeight="1">
      <x:c r="A9" s="15" t="n">
        <x:v>8</x:v>
      </x:c>
      <x:c r="B9" s="15" t="str">
        <x:v>CAL-01</x:v>
      </x:c>
      <x:c r="C9" s="15" t="str">
        <x:v>yes</x:v>
      </x:c>
      <x:c r="D9" s="15" t="str">
        <x:v>asset:toefl:set-1:part-8:academic-talk</x:v>
      </x:c>
      <x:c r="E9" s="15" t="str">
        <x:v>set-1</x:v>
      </x:c>
      <x:c r="F9" s="15" t="str">
        <x:v>Listen to an Academic Talk</x:v>
      </x:c>
      <x:c r="G9" s="15" t="str">
        <x:v>/Users/josedavidduartesilva/Developer/idiomaswl/public/audio/toefl/set-1/academic-talk.mp3</x:v>
      </x:c>
      <x:c r="H9" s="19" t="n">
        <x:v>139.04</x:v>
      </x:c>
      <x:c r="I9" s="15" t="str">
        <x:v>P1</x:v>
      </x:c>
      <x:c r="J9" s="15" t="str">
        <x:v>100_percent_required_T08_T15</x:v>
      </x:c>
      <x:c r="K9" s="15" t="str">
        <x:v>pass_with_actionable_warning</x:v>
      </x:c>
      <x:c r="L9" s="15" t="str">
        <x:v>none</x:v>
      </x:c>
      <x:c r="M9" s="15" t="str">
        <x:v>TECH-LDN-003;TECH-PEAK-003</x:v>
      </x:c>
      <x:c r="N9" s="15" t="str">
        <x:v>review_warning_in_T08_before_conserve</x:v>
      </x:c>
      <x:c r="O9" s="15" t="str">
        <x:v>source_material_diff_pending_human</x:v>
      </x:c>
      <x:c r="P9" s="15" t="str">
        <x:v>LING-DIFF-001;LING-CRIT-001;LING-LEN-002</x:v>
      </x:c>
      <x:c r="Q9" s="15" t="str">
        <x:v>PROFESSOR: Today I want to talk about a color that changed the world — or rather, a color that was, for most of history, almost impossible to make: the color purple. Specifically, a deep reddish-purple dye known in the ancient world as Tyrian purple. Understanding its story tells us a lot about how scarcity shapes value and even politics.
In the ancient Mediterranean, this purple dye was made from the mucus of certain sea snails. And here's the astonishing part: it took thousands of snails to produce just a tiny amount of dye — by some estimates, around ten thousand snails for a single gram. The process was slow, foul-smelling, and enormously labor-intensive. As a result, purple cloth became one of the most expensive substances in the world, worth more than its weight in gold.
Because it was so costly, purple became a symbol of wealth and power. Only emperors, kings, and the very rich could afford it. In the Roman Empire, laws were even passed restricting who was allowed to wear purple — at times, only the emperor himself. This is where we get the phrase "born to the purple," meaning born into royalty. The color's meaning came almost entirely from its scarcity, not from anything about the color itself.
Now, here's the twist that I find fascinating. In eighteen fifty-six, a young British chemistry student named William Perkin was trying to make an anti-malaria drug, and he accidentally created the first synthetic purple dye. Suddenly, purple could be manufactured cheaply and in large quantities. Within a few decades, this once-royal color became available to ordinary people. And this is the deeper lesson: the value of purple was never really about the color. It was about how hard it was to get. Once technology removed that difficulty, the color lost its exclusive meaning. Scarcity, not beauty, had been doing the work all along.</x:v>
      </x:c>
      <x:c r="R9" s="15" t="str">
        <x:v>Today I want to talk about a color that changed the world, or rather, a color that was, for most of history, almost impossible to make, the color purple, specifically a deep reddish-purple dye known in the ancient world as Tyrion purple. Understanding its story tells us a lot about how scarcity shapes value and even politics. In the ancient Mediterranean, this purple dye was made from the mucus of certain sea snails. And here's the astonishing part. It took thousands of snails to produce just a tiny amount of dye, by some estimates around 10,000 snails for a single gram. The process was slow, foul-smelling, and enormously labor-intensive. As a result, purple cloth became one of the most expensive substances in the world, worth more than its weight in gold. Because it was so costly, purple became a symbol of wealth and power. Only emperors, kings, and the very rich could afford it. In the Roman Empire, laws were even passed restricting who was allowed to wear purple. At times, only the emperor himself. This is where we get the phrase born to the purple, meaning born into royalty. The color's meaning came almost entirely from its scarcity, not from anything about the color itself. Now, here's the twist that I find fascinating. In 1856, a young British chemistry student named William Perkin was trying to make an anti-malaria drug, and he accidentally created the first synthetic purple dye. Suddenly, purple could be manufactured cheaply and in large quantities. Within a few decades, this once royal color became available to ordinary people. And this is the deeper lesson. The value of purple was never really about the color. It was about how hard it was to get. Once technology removed that difficulty, the color lost its exclusive meaning. Scarcity, not beauty, had been doing the work all along.</x:v>
      </x:c>
      <x:c r="S9" s="15" t="str">
        <x:v>S:tyrian→tyrion</x:v>
      </x:c>
      <x:c r="T9" s="15" t="str">
        <x:v>source_contract_preserved_subject_to_T08</x:v>
      </x:c>
      <x:c r="U9" s="15" t="str">
        <x:v>C_linguistic_segment_or_reframe_candidate</x:v>
      </x:c>
      <x:c r="V9" s="16" t="str">
        <x:v>not_started</x:v>
      </x:c>
      <x:c r="W9" s="16"/>
      <x:c r="X9" s="16"/>
      <x:c r="Y9" s="16"/>
      <x:c r="Z9" s="16"/>
      <x:c r="AA9" s="16"/>
      <x:c r="AB9" s="16"/>
      <x:c r="AC9" s="16"/>
      <x:c r="AD9" s="16"/>
      <x:c r="AE9" s="16"/>
      <x:c r="AF9" s="16"/>
      <x:c r="AG9" s="16"/>
      <x:c r="AH9" s="16"/>
      <x:c r="AI9" s="16"/>
      <x:c r="AJ9" s="16"/>
      <x:c r="AK9" s="16"/>
      <x:c r="AL9" s="16"/>
      <x:c r="AM9" s="16"/>
      <x:c r="AN9" s="16"/>
      <x:c r="AO9" s="16"/>
      <x:c r="AP9" s="16"/>
      <x:c r="AQ9" s="16"/>
      <x:c r="AR9" s="16"/>
      <x:c r="AS9" s="16"/>
      <x:c r="AT9" s="20"/>
      <x:c r="AU9" s="16"/>
      <x:c r="AV9" s="16"/>
      <x:c r="AW9" s="16" t="str">
        <x:v>pending</x:v>
      </x:c>
      <x:c r="AX9" s="17" t="str">
        <x:v>blocked_not_validated</x:v>
      </x:c>
      <x:c r="AY9" s="18" t="str">
        <x:f>IF(OR(C9="yes",X9="corrected",COUNTIF(Z9:AL9,"major")&gt;0,COUNTIF(Z9:AL9,"blocker")&gt;0,OR(AO9="repair",AO9="segment",AO9="replace",AO9="block")),"yes","no")</x:f>
        <x:v>yes</x:v>
      </x:c>
      <x:c r="AZ9" s="18" t="str">
        <x:f>IF(AND(V9="reviewed",W9&gt;=1,X9&lt;&gt;"",Y9&lt;&gt;"",COUNTA(Z9:AL9)=13,AM9&lt;&gt;"",AN9&lt;&gt;"",AO9&lt;&gt;"",AP9&lt;&gt;"",AQ9&lt;&gt;"",AR9&lt;&gt;"",AS9="I_listened_at_1x_and_completed_all_required_fields",AT9&lt;&gt;"",AW9="adjudicated",OR(AY9="no",AND(AU9&lt;&gt;"",AV9&lt;&gt;""))),"complete","incomplete")</x:f>
        <x:v>incomplete</x:v>
      </x:c>
      <x:c r="BA9" s="18" t="str">
        <x:f>IF(AZ9="complete","none","faltan campos humanos, adjudicación o segunda revisión")</x:f>
        <x:v>faltan campos humanos, adjudicación o segunda revisión</x:v>
      </x:c>
    </x:row>
    <x:row r="10" ht="36" customHeight="1">
      <x:c r="A10" s="15" t="n">
        <x:v>9</x:v>
      </x:c>
      <x:c r="B10" s="15" t="str">
        <x:v>CAL-01</x:v>
      </x:c>
      <x:c r="C10" s="15" t="str">
        <x:v>yes</x:v>
      </x:c>
      <x:c r="D10" s="15" t="str">
        <x:v>asset:toefl:set-2:part-8:academic-talk</x:v>
      </x:c>
      <x:c r="E10" s="15" t="str">
        <x:v>set-2</x:v>
      </x:c>
      <x:c r="F10" s="15" t="str">
        <x:v>Listen to an Academic Talk</x:v>
      </x:c>
      <x:c r="G10" s="15" t="str">
        <x:v>/Users/josedavidduartesilva/Developer/idiomaswl/public/audio/toefl/set-2/academic-talk.mp3</x:v>
      </x:c>
      <x:c r="H10" s="19" t="n">
        <x:v>143.701</x:v>
      </x:c>
      <x:c r="I10" s="15" t="str">
        <x:v>P1</x:v>
      </x:c>
      <x:c r="J10" s="15" t="str">
        <x:v>100_percent_required_T08_T15</x:v>
      </x:c>
      <x:c r="K10" s="15" t="str">
        <x:v>pass_with_actionable_warning</x:v>
      </x:c>
      <x:c r="L10" s="15" t="str">
        <x:v>none</x:v>
      </x:c>
      <x:c r="M10" s="15" t="str">
        <x:v>TECH-LDN-003</x:v>
      </x:c>
      <x:c r="N10" s="15" t="str">
        <x:v>review_warning_in_T08_before_conserve</x:v>
      </x:c>
      <x:c r="O10" s="15" t="str">
        <x:v>source_material_diff_pending_human</x:v>
      </x:c>
      <x:c r="P10" s="15" t="str">
        <x:v>LING-DIFF-001;LING-CRIT-001;ASR-CONF-001;LING-LEN-002</x:v>
      </x:c>
      <x:c r="Q10" s="15" t="str">
        <x:v>PROFESSOR: Today I want to introduce a fascinating idea from psychology called the "spacing effect." It has enormous practical importance for anyone who wants to learn something — which is to say, all of you. The spacing effect describes a simple but powerful finding: we remember information much better when we study it in several short sessions spread out over time, rather than in one long session.
Let me put it in concrete terms. Suppose you have six hours to prepare for an exam. You could do all six hours the night before — what students call "cramming." Or you could do one hour a day for six days. Decades of research show, quite consistently, that the spaced approach — the six separate hours — leads to far better long-term retention. Even though the total study time is identical, spreading it out dramatically improves how much you remember weeks or months later.
Why does this happen? The leading explanation involves how memories are strengthened through retrieval. Each time you return to material after a gap, your brain has to work a little harder to recall it, and that effortful retrieval strengthens the memory. When you cram, the information is still fresh from a few minutes ago, so recalling it is easy — and easy recall does little to strengthen long-term memory. A little bit of forgetting between sessions, followed by successful retrieval, is exactly what builds durable knowledge.
The practical implications are significant, and, frankly, most students ignore them. Cramming can get you through a test the next morning, because the information is briefly available. But it's remarkably inefficient for genuine, lasting learning. If you're studying a language, a science, or anything you actually want to keep, the research is clear: study a little, often, with gaps in between. Space it out. Your future self will remember far more for the same total effort.</x:v>
      </x:c>
      <x:c r="R10" s="15" t="str">
        <x:v>Today I want to introduce a fascinating idea from psychology called the spacing effect. It has enormous practical importance for anyone who wants to learn something, which is to say, all of you. The spacing effect describes a simple but powerful finding. We remember information much better when we study it in several short sessions spread out over time rather than in one long session. me put it in concrete terms. Suppose you have six hours to prepare for an exam. You could do all six hours the night before, what students call cramming. Or you could do one hour a day for six days. Decades of research show quite consistently that the spaced approach, the six separate hours, leads to far better long-term retention. Even though the total study time is identical, spreading it out dramatically improves how much you remember weeks or months later. Why does this happen? The leading explanation involves how memories are strengthened through retrieval. Each time you return to material after a gap, your brain has to work a little harder to recall it, and that effortful retrieval strengthens the memory. When you cram, the information is still fresh from a few minutes ago, so recalling it is easy, and easy recall does little to strengthen long-term memory. A little bit of forgetting between sessions, followed by successful retrieval, is exactly what builds durable knowledge. The practical implications are significant, and, frankly, most students ignore them. cramming can get you through a test the next morning because the information is briefly available, but it's remarkably inefficient for genuine, lasting learning. If you're studying a language, a science, or anything you actually want to keep, the research is clear. Study a little, often, with gaps in between. Space it out. Your future self will remember far more for the same total effort.</x:v>
      </x:c>
      <x:c r="S10" s="15" t="str">
        <x:v>D:let</x:v>
      </x:c>
      <x:c r="T10" s="15" t="str">
        <x:v>source_contract_preserved_subject_to_T08</x:v>
      </x:c>
      <x:c r="U10" s="15" t="str">
        <x:v>C_linguistic_segment_or_reframe_candidate</x:v>
      </x:c>
      <x:c r="V10" s="16" t="str">
        <x:v>not_started</x:v>
      </x:c>
      <x:c r="W10" s="16"/>
      <x:c r="X10" s="16"/>
      <x:c r="Y10" s="16"/>
      <x:c r="Z10" s="16"/>
      <x:c r="AA10" s="16"/>
      <x:c r="AB10" s="16"/>
      <x:c r="AC10" s="16"/>
      <x:c r="AD10" s="16"/>
      <x:c r="AE10" s="16"/>
      <x:c r="AF10" s="16"/>
      <x:c r="AG10" s="16"/>
      <x:c r="AH10" s="16"/>
      <x:c r="AI10" s="16"/>
      <x:c r="AJ10" s="16"/>
      <x:c r="AK10" s="16"/>
      <x:c r="AL10" s="16"/>
      <x:c r="AM10" s="16"/>
      <x:c r="AN10" s="16"/>
      <x:c r="AO10" s="16"/>
      <x:c r="AP10" s="16"/>
      <x:c r="AQ10" s="16"/>
      <x:c r="AR10" s="16"/>
      <x:c r="AS10" s="16"/>
      <x:c r="AT10" s="20"/>
      <x:c r="AU10" s="16"/>
      <x:c r="AV10" s="16"/>
      <x:c r="AW10" s="16" t="str">
        <x:v>pending</x:v>
      </x:c>
      <x:c r="AX10" s="17" t="str">
        <x:v>blocked_not_validated</x:v>
      </x:c>
      <x:c r="AY10" s="18" t="str">
        <x:f>IF(OR(C10="yes",X10="corrected",COUNTIF(Z10:AL10,"major")&gt;0,COUNTIF(Z10:AL10,"blocker")&gt;0,OR(AO10="repair",AO10="segment",AO10="replace",AO10="block")),"yes","no")</x:f>
        <x:v>yes</x:v>
      </x:c>
      <x:c r="AZ10" s="18" t="str">
        <x:f>IF(AND(V10="reviewed",W10&gt;=1,X10&lt;&gt;"",Y10&lt;&gt;"",COUNTA(Z10:AL10)=13,AM10&lt;&gt;"",AN10&lt;&gt;"",AO10&lt;&gt;"",AP10&lt;&gt;"",AQ10&lt;&gt;"",AR10&lt;&gt;"",AS10="I_listened_at_1x_and_completed_all_required_fields",AT10&lt;&gt;"",AW10="adjudicated",OR(AY10="no",AND(AU10&lt;&gt;"",AV10&lt;&gt;""))),"complete","incomplete")</x:f>
        <x:v>incomplete</x:v>
      </x:c>
      <x:c r="BA10" s="18" t="str">
        <x:f>IF(AZ10="complete","none","faltan campos humanos, adjudicación o segunda revisión")</x:f>
        <x:v>faltan campos humanos, adjudicación o segunda revisión</x:v>
      </x:c>
    </x:row>
    <x:row r="11" ht="36" customHeight="1">
      <x:c r="A11" s="15" t="n">
        <x:v>10</x:v>
      </x:c>
      <x:c r="B11" s="15" t="str">
        <x:v>CAL-01</x:v>
      </x:c>
      <x:c r="C11" s="15" t="str">
        <x:v>yes</x:v>
      </x:c>
      <x:c r="D11" s="15" t="str">
        <x:v>asset:toefl:set-7:part-5:listen-choose-2</x:v>
      </x:c>
      <x:c r="E11" s="15" t="str">
        <x:v>set-7</x:v>
      </x:c>
      <x:c r="F11" s="15" t="str">
        <x:v>Listen and Choose a Response</x:v>
      </x:c>
      <x:c r="G11" s="15" t="str">
        <x:v>/Users/josedavidduartesilva/Developer/idiomaswl/public/audio/toefl/set-7/listen-choose-2.mp3</x:v>
      </x:c>
      <x:c r="H11" s="19" t="n">
        <x:v>2.74</x:v>
      </x:c>
      <x:c r="I11" s="15" t="str">
        <x:v>P1</x:v>
      </x:c>
      <x:c r="J11" s="15" t="str">
        <x:v>100_percent_required_T08</x:v>
      </x:c>
      <x:c r="K11" s="15" t="str">
        <x:v>fail_actionable</x:v>
      </x:c>
      <x:c r="L11" s="15" t="str">
        <x:v>TECH-LDN-002</x:v>
      </x:c>
      <x:c r="M11" s="15" t="str">
        <x:v>TECH-PEAK-003</x:v>
      </x:c>
      <x:c r="N11" s="15" t="str">
        <x:v>measure_gain_create_versioned_normalized_variant</x:v>
      </x:c>
      <x:c r="O11" s="15" t="str">
        <x:v>asr_candidate_recovered_pending_human</x:v>
      </x:c>
      <x:c r="P11" s="15" t="str">
        <x:v>LING-SOURCE-001;TECH-T06-FAIL;LING-STRESS-001;LING-ASR-UNCERTAIN-001</x:v>
      </x:c>
      <x:c r="Q11" s="15" t="str"/>
      <x:c r="R11" s="15" t="str">
        <x:v>Would you like to join us for a hank this Saturday?</x:v>
      </x:c>
      <x:c r="S11" s="15" t="str">
        <x:v>no_source_candidate</x:v>
      </x:c>
      <x:c r="T11" s="15" t="str">
        <x:v>asr_uncertain_exchange_pending_T08</x:v>
      </x:c>
      <x:c r="U11" s="15" t="str">
        <x:v>B_transcript_adjudication_candidate</x:v>
      </x:c>
      <x:c r="V11" s="16" t="str">
        <x:v>not_started</x:v>
      </x:c>
      <x:c r="W11" s="16"/>
      <x:c r="X11" s="16"/>
      <x:c r="Y11" s="16"/>
      <x:c r="Z11" s="16"/>
      <x:c r="AA11" s="16"/>
      <x:c r="AB11" s="16"/>
      <x:c r="AC11" s="16"/>
      <x:c r="AD11" s="16"/>
      <x:c r="AE11" s="16"/>
      <x:c r="AF11" s="16"/>
      <x:c r="AG11" s="16"/>
      <x:c r="AH11" s="16"/>
      <x:c r="AI11" s="16"/>
      <x:c r="AJ11" s="16"/>
      <x:c r="AK11" s="16"/>
      <x:c r="AL11" s="16"/>
      <x:c r="AM11" s="16"/>
      <x:c r="AN11" s="16"/>
      <x:c r="AO11" s="16"/>
      <x:c r="AP11" s="16"/>
      <x:c r="AQ11" s="16"/>
      <x:c r="AR11" s="16"/>
      <x:c r="AS11" s="16"/>
      <x:c r="AT11" s="20"/>
      <x:c r="AU11" s="16"/>
      <x:c r="AV11" s="16"/>
      <x:c r="AW11" s="16" t="str">
        <x:v>pending</x:v>
      </x:c>
      <x:c r="AX11" s="17" t="str">
        <x:v>blocked_not_validated</x:v>
      </x:c>
      <x:c r="AY11" s="18" t="str">
        <x:f>IF(OR(C11="yes",X11="corrected",COUNTIF(Z11:AL11,"major")&gt;0,COUNTIF(Z11:AL11,"blocker")&gt;0,OR(AO11="repair",AO11="segment",AO11="replace",AO11="block")),"yes","no")</x:f>
        <x:v>yes</x:v>
      </x:c>
      <x:c r="AZ11" s="18" t="str">
        <x:f>IF(AND(V11="reviewed",W11&gt;=1,X11&lt;&gt;"",Y11&lt;&gt;"",COUNTA(Z11:AL11)=13,AM11&lt;&gt;"",AN11&lt;&gt;"",AO11&lt;&gt;"",AP11&lt;&gt;"",AQ11&lt;&gt;"",AR11&lt;&gt;"",AS11="I_listened_at_1x_and_completed_all_required_fields",AT11&lt;&gt;"",AW11="adjudicated",OR(AY11="no",AND(AU11&lt;&gt;"",AV11&lt;&gt;""))),"complete","incomplete")</x:f>
        <x:v>incomplete</x:v>
      </x:c>
      <x:c r="BA11" s="18" t="str">
        <x:f>IF(AZ11="complete","none","faltan campos humanos, adjudicación o segunda revisión")</x:f>
        <x:v>faltan campos humanos, adjudicación o segunda revisión</x:v>
      </x:c>
    </x:row>
    <x:row r="12" ht="36" customHeight="1">
      <x:c r="A12" s="15" t="n">
        <x:v>11</x:v>
      </x:c>
      <x:c r="B12" s="15" t="str">
        <x:v>CAL-01</x:v>
      </x:c>
      <x:c r="C12" s="15" t="str">
        <x:v>yes</x:v>
      </x:c>
      <x:c r="D12" s="15" t="str">
        <x:v>asset:toefl:set-11:part-6:conversation</x:v>
      </x:c>
      <x:c r="E12" s="15" t="str">
        <x:v>set-11</x:v>
      </x:c>
      <x:c r="F12" s="15" t="str">
        <x:v>Listen to a Conversation</x:v>
      </x:c>
      <x:c r="G12" s="15" t="str">
        <x:v>/Users/josedavidduartesilva/Developer/idiomaswl/public/audio/toefl/set-11/conversation.mp3</x:v>
      </x:c>
      <x:c r="H12" s="19" t="n">
        <x:v>58.08</x:v>
      </x:c>
      <x:c r="I12" s="15" t="str">
        <x:v>P1</x:v>
      </x:c>
      <x:c r="J12" s="15" t="str">
        <x:v>100_percent_required_T08_T15</x:v>
      </x:c>
      <x:c r="K12" s="15" t="str">
        <x:v>fail_actionable</x:v>
      </x:c>
      <x:c r="L12" s="15" t="str">
        <x:v>TECH-SIL-002</x:v>
      </x:c>
      <x:c r="M12" s="15" t="str">
        <x:v>TECH-PEAK-003</x:v>
      </x:c>
      <x:c r="N12" s="15" t="str">
        <x:v>review_edges_create_versioned_trim_variant</x:v>
      </x:c>
      <x:c r="O12" s="15" t="str">
        <x:v>source_material_diff_pending_human</x:v>
      </x:c>
      <x:c r="P12" s="15" t="str">
        <x:v>LING-DIFF-001;ASR-CONF-001;ASR-NS-001;TECH-T06-FAIL;LING-LEN-001</x:v>
      </x:c>
      <x:c r="Q12" s="15" t="str">
        <x:v>WOMAN: Are you going to the study-skills workshop this afternoon?
MAN: I wasn't planning to. Do you think it's worth it? I've got a lot of reading to catch up on.
WOMAN: Honestly, I think it might be. It's on note-taking and time management. And you're always saying you feel behind and disorganized.
MAN: That's true. My notes are a mess — I write down everything the professor says, and then I can't find anything useful later.
WOMAN: See, that's exactly what they'll cover. Apparently there's a method where you only write key points during the lecture and then summarize in your own words afterward. Supposedly you remember much more that way.
MAN: Huh. That actually sounds like it could fix my problem. But it's from three to four, and I have so much reading.
WOMAN: One hour now could save you hours later, though. If you take better notes, you won't have to reread everything three times.
MAN: Okay, you've convinced me. I'll come. If nothing else, it'll stop me from feeling guilty about procrastinating on the reading.</x:v>
      </x:c>
      <x:c r="R12" s="15" t="str">
        <x:v>Are you going to the study skills workshop this afternoon? I wasn't planning to. Do you think it's worth it? I've got a lot of reading to catch up on. Honestly, I think it might be. It's on note-taking and time management, and you're always saying you feel behind and disorganized. That's true. My notes are a mess. I write down everything the professor says, and then I can't find anything useful later. See, that's exactly what they'll cover. Apparently there's a method where you only write key points during the lecture, and then summarize in your own words afterward. Supposedly, you remember much more that way. Huh. That actually sounds like it could fix my problem. But it's from three to four, and I have so much reading. One hour now could save you hours later, though. If you take better notes, you won't have to reread everything three times. Okay, you've convinced me. I'll come. If nothing else, it'll stop me from feeling guilty about procrastinating on the reading. You</x:v>
      </x:c>
      <x:c r="S12" s="15" t="str">
        <x:v>I:you</x:v>
      </x:c>
      <x:c r="T12" s="15" t="str">
        <x:v>source_contract_preserved_subject_to_T08</x:v>
      </x:c>
      <x:c r="U12" s="15" t="str">
        <x:v>C_linguistic_segment_or_reframe_candidate</x:v>
      </x:c>
      <x:c r="V12" s="16" t="str">
        <x:v>not_started</x:v>
      </x:c>
      <x:c r="W12" s="16"/>
      <x:c r="X12" s="16"/>
      <x:c r="Y12" s="16"/>
      <x:c r="Z12" s="16"/>
      <x:c r="AA12" s="16"/>
      <x:c r="AB12" s="16"/>
      <x:c r="AC12" s="16"/>
      <x:c r="AD12" s="16"/>
      <x:c r="AE12" s="16"/>
      <x:c r="AF12" s="16"/>
      <x:c r="AG12" s="16"/>
      <x:c r="AH12" s="16"/>
      <x:c r="AI12" s="16"/>
      <x:c r="AJ12" s="16"/>
      <x:c r="AK12" s="16"/>
      <x:c r="AL12" s="16"/>
      <x:c r="AM12" s="16"/>
      <x:c r="AN12" s="16"/>
      <x:c r="AO12" s="16"/>
      <x:c r="AP12" s="16"/>
      <x:c r="AQ12" s="16"/>
      <x:c r="AR12" s="16"/>
      <x:c r="AS12" s="16"/>
      <x:c r="AT12" s="20"/>
      <x:c r="AU12" s="16"/>
      <x:c r="AV12" s="16"/>
      <x:c r="AW12" s="16" t="str">
        <x:v>pending</x:v>
      </x:c>
      <x:c r="AX12" s="17" t="str">
        <x:v>blocked_not_validated</x:v>
      </x:c>
      <x:c r="AY12" s="18" t="str">
        <x:f>IF(OR(C12="yes",X12="corrected",COUNTIF(Z12:AL12,"major")&gt;0,COUNTIF(Z12:AL12,"blocker")&gt;0,OR(AO12="repair",AO12="segment",AO12="replace",AO12="block")),"yes","no")</x:f>
        <x:v>yes</x:v>
      </x:c>
      <x:c r="AZ12" s="18" t="str">
        <x:f>IF(AND(V12="reviewed",W12&gt;=1,X12&lt;&gt;"",Y12&lt;&gt;"",COUNTA(Z12:AL12)=13,AM12&lt;&gt;"",AN12&lt;&gt;"",AO12&lt;&gt;"",AP12&lt;&gt;"",AQ12&lt;&gt;"",AR12&lt;&gt;"",AS12="I_listened_at_1x_and_completed_all_required_fields",AT12&lt;&gt;"",AW12="adjudicated",OR(AY12="no",AND(AU12&lt;&gt;"",AV12&lt;&gt;""))),"complete","incomplete")</x:f>
        <x:v>incomplete</x:v>
      </x:c>
      <x:c r="BA12" s="18" t="str">
        <x:f>IF(AZ12="complete","none","faltan campos humanos, adjudicación o segunda revisión")</x:f>
        <x:v>faltan campos humanos, adjudicación o segunda revisión</x:v>
      </x:c>
    </x:row>
    <x:row r="13" ht="36" customHeight="1">
      <x:c r="A13" s="15" t="n">
        <x:v>12</x:v>
      </x:c>
      <x:c r="B13" s="15" t="str">
        <x:v>CAL-01</x:v>
      </x:c>
      <x:c r="C13" s="15" t="str">
        <x:v>yes</x:v>
      </x:c>
      <x:c r="D13" s="15" t="str">
        <x:v>asset:toefl:set-14:part-12:repeat-1</x:v>
      </x:c>
      <x:c r="E13" s="15" t="str">
        <x:v>set-14</x:v>
      </x:c>
      <x:c r="F13" s="15" t="str">
        <x:v>Listen and Repeat</x:v>
      </x:c>
      <x:c r="G13" s="15" t="str">
        <x:v>/Users/josedavidduartesilva/Developer/idiomaswl/public/audio/toefl/set-14/repeat-1.mp3</x:v>
      </x:c>
      <x:c r="H13" s="19" t="n">
        <x:v>1.86</x:v>
      </x:c>
      <x:c r="I13" s="15" t="str">
        <x:v>P1</x:v>
      </x:c>
      <x:c r="J13" s="15" t="str">
        <x:v>100_percent_required_T08</x:v>
      </x:c>
      <x:c r="K13" s="15" t="str">
        <x:v>fail_actionable</x:v>
      </x:c>
      <x:c r="L13" s="15" t="str">
        <x:v>TECH-LDN-002</x:v>
      </x:c>
      <x:c r="M13" s="15" t="str">
        <x:v>none</x:v>
      </x:c>
      <x:c r="N13" s="15" t="str">
        <x:v>measure_gain_create_versioned_normalized_variant</x:v>
      </x:c>
      <x:c r="O13" s="15" t="str">
        <x:v>source_exact_normalized_low_confidence_pending_human</x:v>
      </x:c>
      <x:c r="P13" s="15" t="str">
        <x:v>ASR-CONF-001;TECH-T06-FAIL</x:v>
      </x:c>
      <x:c r="Q13" s="15" t="str">
        <x:v>The door is open.</x:v>
      </x:c>
      <x:c r="R13" s="15" t="str">
        <x:v>The door is open!</x:v>
      </x:c>
      <x:c r="S13" s="15" t="str">
        <x:v>none</x:v>
      </x:c>
      <x:c r="T13" s="15" t="str">
        <x:v>source_contract_preserved_subject_to_T08</x:v>
      </x:c>
      <x:c r="U13" s="15" t="str">
        <x:v>B_linguistic_adjudication_or_repair_candidate</x:v>
      </x:c>
      <x:c r="V13" s="16" t="str">
        <x:v>not_started</x:v>
      </x:c>
      <x:c r="W13" s="16"/>
      <x:c r="X13" s="16"/>
      <x:c r="Y13" s="16"/>
      <x:c r="Z13" s="16"/>
      <x:c r="AA13" s="16"/>
      <x:c r="AB13" s="16"/>
      <x:c r="AC13" s="16"/>
      <x:c r="AD13" s="16"/>
      <x:c r="AE13" s="16"/>
      <x:c r="AF13" s="16"/>
      <x:c r="AG13" s="16"/>
      <x:c r="AH13" s="16"/>
      <x:c r="AI13" s="16"/>
      <x:c r="AJ13" s="16"/>
      <x:c r="AK13" s="16"/>
      <x:c r="AL13" s="16"/>
      <x:c r="AM13" s="16"/>
      <x:c r="AN13" s="16"/>
      <x:c r="AO13" s="16"/>
      <x:c r="AP13" s="16"/>
      <x:c r="AQ13" s="16"/>
      <x:c r="AR13" s="16"/>
      <x:c r="AS13" s="16"/>
      <x:c r="AT13" s="20"/>
      <x:c r="AU13" s="16"/>
      <x:c r="AV13" s="16"/>
      <x:c r="AW13" s="16" t="str">
        <x:v>pending</x:v>
      </x:c>
      <x:c r="AX13" s="17" t="str">
        <x:v>blocked_not_validated</x:v>
      </x:c>
      <x:c r="AY13" s="18" t="str">
        <x:f>IF(OR(C13="yes",X13="corrected",COUNTIF(Z13:AL13,"major")&gt;0,COUNTIF(Z13:AL13,"blocker")&gt;0,OR(AO13="repair",AO13="segment",AO13="replace",AO13="block")),"yes","no")</x:f>
        <x:v>yes</x:v>
      </x:c>
      <x:c r="AZ13" s="18" t="str">
        <x:f>IF(AND(V13="reviewed",W13&gt;=1,X13&lt;&gt;"",Y13&lt;&gt;"",COUNTA(Z13:AL13)=13,AM13&lt;&gt;"",AN13&lt;&gt;"",AO13&lt;&gt;"",AP13&lt;&gt;"",AQ13&lt;&gt;"",AR13&lt;&gt;"",AS13="I_listened_at_1x_and_completed_all_required_fields",AT13&lt;&gt;"",AW13="adjudicated",OR(AY13="no",AND(AU13&lt;&gt;"",AV13&lt;&gt;""))),"complete","incomplete")</x:f>
        <x:v>incomplete</x:v>
      </x:c>
      <x:c r="BA13" s="18" t="str">
        <x:f>IF(AZ13="complete","none","faltan campos humanos, adjudicación o segunda revisión")</x:f>
        <x:v>faltan campos humanos, adjudicación o segunda revisión</x:v>
      </x:c>
    </x:row>
    <x:row r="14" ht="36" customHeight="1">
      <x:c r="A14" s="15" t="n">
        <x:v>13</x:v>
      </x:c>
      <x:c r="B14" s="15" t="str">
        <x:v>CAL-01</x:v>
      </x:c>
      <x:c r="C14" s="15" t="str">
        <x:v>yes</x:v>
      </x:c>
      <x:c r="D14" s="15" t="str">
        <x:v>asset:toefl:set-15:part-5:listen-choose-1</x:v>
      </x:c>
      <x:c r="E14" s="15" t="str">
        <x:v>set-15</x:v>
      </x:c>
      <x:c r="F14" s="15" t="str">
        <x:v>Listen and Choose a Response</x:v>
      </x:c>
      <x:c r="G14" s="15" t="str">
        <x:v>/Users/josedavidduartesilva/Developer/idiomaswl/public/audio/toefl/set-15/listen-choose-1.mp3</x:v>
      </x:c>
      <x:c r="H14" s="19" t="n">
        <x:v>3.06</x:v>
      </x:c>
      <x:c r="I14" s="15" t="str">
        <x:v>P1</x:v>
      </x:c>
      <x:c r="J14" s="15" t="str">
        <x:v>100_percent_required_T08</x:v>
      </x:c>
      <x:c r="K14" s="15" t="str">
        <x:v>pass_automated_T06</x:v>
      </x:c>
      <x:c r="L14" s="15" t="str">
        <x:v>none</x:v>
      </x:c>
      <x:c r="M14" s="15" t="str">
        <x:v>none</x:v>
      </x:c>
      <x:c r="N14" s="15" t="str">
        <x:v>conserve_source_technical_candidate</x:v>
      </x:c>
      <x:c r="O14" s="15" t="str">
        <x:v>asr_candidate_recovered_pending_human</x:v>
      </x:c>
      <x:c r="P14" s="15" t="str">
        <x:v>LING-SOURCE-001;LING-STRESS-001;LING-EXCHANGE-002</x:v>
      </x:c>
      <x:c r="Q14" s="15" t="str"/>
      <x:c r="R14" s="15" t="str">
        <x:v>Excuse me, where can I find the dictionaries?</x:v>
      </x:c>
      <x:c r="S14" s="15" t="str">
        <x:v>no_source_candidate</x:v>
      </x:c>
      <x:c r="T14" s="15" t="str">
        <x:v>number_agreement_uncertain_pending_T08</x:v>
      </x:c>
      <x:c r="U14" s="15" t="str">
        <x:v>B_transcript_adjudication_candidate</x:v>
      </x:c>
      <x:c r="V14" s="16" t="str">
        <x:v>not_started</x:v>
      </x:c>
      <x:c r="W14" s="16"/>
      <x:c r="X14" s="16"/>
      <x:c r="Y14" s="16"/>
      <x:c r="Z14" s="16"/>
      <x:c r="AA14" s="16"/>
      <x:c r="AB14" s="16"/>
      <x:c r="AC14" s="16"/>
      <x:c r="AD14" s="16"/>
      <x:c r="AE14" s="16"/>
      <x:c r="AF14" s="16"/>
      <x:c r="AG14" s="16"/>
      <x:c r="AH14" s="16"/>
      <x:c r="AI14" s="16"/>
      <x:c r="AJ14" s="16"/>
      <x:c r="AK14" s="16"/>
      <x:c r="AL14" s="16"/>
      <x:c r="AM14" s="16"/>
      <x:c r="AN14" s="16"/>
      <x:c r="AO14" s="16"/>
      <x:c r="AP14" s="16"/>
      <x:c r="AQ14" s="16"/>
      <x:c r="AR14" s="16"/>
      <x:c r="AS14" s="16"/>
      <x:c r="AT14" s="20"/>
      <x:c r="AU14" s="16"/>
      <x:c r="AV14" s="16"/>
      <x:c r="AW14" s="16" t="str">
        <x:v>pending</x:v>
      </x:c>
      <x:c r="AX14" s="17" t="str">
        <x:v>blocked_not_validated</x:v>
      </x:c>
      <x:c r="AY14" s="18" t="str">
        <x:f>IF(OR(C14="yes",X14="corrected",COUNTIF(Z14:AL14,"major")&gt;0,COUNTIF(Z14:AL14,"blocker")&gt;0,OR(AO14="repair",AO14="segment",AO14="replace",AO14="block")),"yes","no")</x:f>
        <x:v>yes</x:v>
      </x:c>
      <x:c r="AZ14" s="18" t="str">
        <x:f>IF(AND(V14="reviewed",W14&gt;=1,X14&lt;&gt;"",Y14&lt;&gt;"",COUNTA(Z14:AL14)=13,AM14&lt;&gt;"",AN14&lt;&gt;"",AO14&lt;&gt;"",AP14&lt;&gt;"",AQ14&lt;&gt;"",AR14&lt;&gt;"",AS14="I_listened_at_1x_and_completed_all_required_fields",AT14&lt;&gt;"",AW14="adjudicated",OR(AY14="no",AND(AU14&lt;&gt;"",AV14&lt;&gt;""))),"complete","incomplete")</x:f>
        <x:v>incomplete</x:v>
      </x:c>
      <x:c r="BA14" s="18" t="str">
        <x:f>IF(AZ14="complete","none","faltan campos humanos, adjudicación o segunda revisión")</x:f>
        <x:v>faltan campos humanos, adjudicación o segunda revisión</x:v>
      </x:c>
    </x:row>
    <x:row r="15" ht="36" customHeight="1">
      <x:c r="A15" s="15" t="n">
        <x:v>14</x:v>
      </x:c>
      <x:c r="B15" s="15" t="str">
        <x:v>CAL-01</x:v>
      </x:c>
      <x:c r="C15" s="15" t="str">
        <x:v>yes</x:v>
      </x:c>
      <x:c r="D15" s="15" t="str">
        <x:v>asset:toefl:set-18:part-5:listen-choose-2</x:v>
      </x:c>
      <x:c r="E15" s="15" t="str">
        <x:v>set-18</x:v>
      </x:c>
      <x:c r="F15" s="15" t="str">
        <x:v>Listen and Choose a Response</x:v>
      </x:c>
      <x:c r="G15" s="15" t="str">
        <x:v>/Users/josedavidduartesilva/Developer/idiomaswl/public/audio/toefl/set-18/listen-choose-2.mp3</x:v>
      </x:c>
      <x:c r="H15" s="19" t="n">
        <x:v>2.901</x:v>
      </x:c>
      <x:c r="I15" s="15" t="str">
        <x:v>P1</x:v>
      </x:c>
      <x:c r="J15" s="15" t="str">
        <x:v>100_percent_required_T08</x:v>
      </x:c>
      <x:c r="K15" s="15" t="str">
        <x:v>pass_automated_T06</x:v>
      </x:c>
      <x:c r="L15" s="15" t="str">
        <x:v>none</x:v>
      </x:c>
      <x:c r="M15" s="15" t="str">
        <x:v>none</x:v>
      </x:c>
      <x:c r="N15" s="15" t="str">
        <x:v>conserve_source_technical_candidate</x:v>
      </x:c>
      <x:c r="O15" s="15" t="str">
        <x:v>asr_candidate_recovered_pending_human</x:v>
      </x:c>
      <x:c r="P15" s="15" t="str">
        <x:v>LING-SOURCE-001;LING-STRESS-001;LING-ASR-UNCERTAIN-001</x:v>
      </x:c>
      <x:c r="Q15" s="15" t="str"/>
      <x:c r="R15" s="15" t="str">
        <x:v>Could you bring your notes to want to study group tomorrow?</x:v>
      </x:c>
      <x:c r="S15" s="15" t="str">
        <x:v>no_source_candidate</x:v>
      </x:c>
      <x:c r="T15" s="15" t="str">
        <x:v>asr_uncertain_exchange_pending_T08</x:v>
      </x:c>
      <x:c r="U15" s="15" t="str">
        <x:v>B_transcript_adjudication_candidate</x:v>
      </x:c>
      <x:c r="V15" s="16" t="str">
        <x:v>not_started</x:v>
      </x:c>
      <x:c r="W15" s="16"/>
      <x:c r="X15" s="16"/>
      <x:c r="Y15" s="16"/>
      <x:c r="Z15" s="16"/>
      <x:c r="AA15" s="16"/>
      <x:c r="AB15" s="16"/>
      <x:c r="AC15" s="16"/>
      <x:c r="AD15" s="16"/>
      <x:c r="AE15" s="16"/>
      <x:c r="AF15" s="16"/>
      <x:c r="AG15" s="16"/>
      <x:c r="AH15" s="16"/>
      <x:c r="AI15" s="16"/>
      <x:c r="AJ15" s="16"/>
      <x:c r="AK15" s="16"/>
      <x:c r="AL15" s="16"/>
      <x:c r="AM15" s="16"/>
      <x:c r="AN15" s="16"/>
      <x:c r="AO15" s="16"/>
      <x:c r="AP15" s="16"/>
      <x:c r="AQ15" s="16"/>
      <x:c r="AR15" s="16"/>
      <x:c r="AS15" s="16"/>
      <x:c r="AT15" s="20"/>
      <x:c r="AU15" s="16"/>
      <x:c r="AV15" s="16"/>
      <x:c r="AW15" s="16" t="str">
        <x:v>pending</x:v>
      </x:c>
      <x:c r="AX15" s="17" t="str">
        <x:v>blocked_not_validated</x:v>
      </x:c>
      <x:c r="AY15" s="18" t="str">
        <x:f>IF(OR(C15="yes",X15="corrected",COUNTIF(Z15:AL15,"major")&gt;0,COUNTIF(Z15:AL15,"blocker")&gt;0,OR(AO15="repair",AO15="segment",AO15="replace",AO15="block")),"yes","no")</x:f>
        <x:v>yes</x:v>
      </x:c>
      <x:c r="AZ15" s="18" t="str">
        <x:f>IF(AND(V15="reviewed",W15&gt;=1,X15&lt;&gt;"",Y15&lt;&gt;"",COUNTA(Z15:AL15)=13,AM15&lt;&gt;"",AN15&lt;&gt;"",AO15&lt;&gt;"",AP15&lt;&gt;"",AQ15&lt;&gt;"",AR15&lt;&gt;"",AS15="I_listened_at_1x_and_completed_all_required_fields",AT15&lt;&gt;"",AW15="adjudicated",OR(AY15="no",AND(AU15&lt;&gt;"",AV15&lt;&gt;""))),"complete","incomplete")</x:f>
        <x:v>incomplete</x:v>
      </x:c>
      <x:c r="BA15" s="18" t="str">
        <x:f>IF(AZ15="complete","none","faltan campos humanos, adjudicación o segunda revisión")</x:f>
        <x:v>faltan campos humanos, adjudicación o segunda revisión</x:v>
      </x:c>
    </x:row>
    <x:row r="16" ht="36" customHeight="1">
      <x:c r="A16" s="15" t="n">
        <x:v>15</x:v>
      </x:c>
      <x:c r="B16" s="15" t="str">
        <x:v>CAL-01</x:v>
      </x:c>
      <x:c r="C16" s="15" t="str">
        <x:v>yes</x:v>
      </x:c>
      <x:c r="D16" s="15" t="str">
        <x:v>asset:toefl:set-5:part-12:repeat-5</x:v>
      </x:c>
      <x:c r="E16" s="15" t="str">
        <x:v>set-5</x:v>
      </x:c>
      <x:c r="F16" s="15" t="str">
        <x:v>Listen and Repeat</x:v>
      </x:c>
      <x:c r="G16" s="15" t="str">
        <x:v>/Users/josedavidduartesilva/Developer/idiomaswl/public/audio/toefl/set-5/repeat-5.mp3</x:v>
      </x:c>
      <x:c r="H16" s="19" t="n">
        <x:v>5.14</x:v>
      </x:c>
      <x:c r="I16" s="15" t="str">
        <x:v>P2</x:v>
      </x:c>
      <x:c r="J16" s="15" t="str">
        <x:v>100_percent_required_T08</x:v>
      </x:c>
      <x:c r="K16" s="15" t="str">
        <x:v>fail_actionable</x:v>
      </x:c>
      <x:c r="L16" s="15" t="str">
        <x:v>TECH-PEAK-002;TECH-PEAK-001</x:v>
      </x:c>
      <x:c r="M16" s="15" t="str">
        <x:v>none</x:v>
      </x:c>
      <x:c r="N16" s="15" t="str">
        <x:v>review_peak_create_versioned_limited_variant</x:v>
      </x:c>
      <x:c r="O16" s="15" t="str">
        <x:v>source_exact_normalized_supported_pending_human</x:v>
      </x:c>
      <x:c r="P16" s="15" t="str">
        <x:v>TECH-T06-FAIL</x:v>
      </x:c>
      <x:c r="Q16" s="15" t="str">
        <x:v>If the committee approves the proposal, construction of the new library will begin in the spring.</x:v>
      </x:c>
      <x:c r="R16" s="15" t="str">
        <x:v>If the committee approves the proposal, construction of the new library will begin in the spring.</x:v>
      </x:c>
      <x:c r="S16" s="15" t="str">
        <x:v>none</x:v>
      </x:c>
      <x:c r="T16" s="15" t="str">
        <x:v>source_contract_preserved_subject_to_T08</x:v>
      </x:c>
      <x:c r="U16" s="15" t="str">
        <x:v>A_linguistic_conserve_candidate</x:v>
      </x:c>
      <x:c r="V16" s="16" t="str">
        <x:v>not_started</x:v>
      </x:c>
      <x:c r="W16" s="16"/>
      <x:c r="X16" s="16"/>
      <x:c r="Y16" s="16"/>
      <x:c r="Z16" s="16"/>
      <x:c r="AA16" s="16"/>
      <x:c r="AB16" s="16"/>
      <x:c r="AC16" s="16"/>
      <x:c r="AD16" s="16"/>
      <x:c r="AE16" s="16"/>
      <x:c r="AF16" s="16"/>
      <x:c r="AG16" s="16"/>
      <x:c r="AH16" s="16"/>
      <x:c r="AI16" s="16"/>
      <x:c r="AJ16" s="16"/>
      <x:c r="AK16" s="16"/>
      <x:c r="AL16" s="16"/>
      <x:c r="AM16" s="16"/>
      <x:c r="AN16" s="16"/>
      <x:c r="AO16" s="16"/>
      <x:c r="AP16" s="16"/>
      <x:c r="AQ16" s="16"/>
      <x:c r="AR16" s="16"/>
      <x:c r="AS16" s="16"/>
      <x:c r="AT16" s="20"/>
      <x:c r="AU16" s="16"/>
      <x:c r="AV16" s="16"/>
      <x:c r="AW16" s="16" t="str">
        <x:v>pending</x:v>
      </x:c>
      <x:c r="AX16" s="17" t="str">
        <x:v>blocked_not_validated</x:v>
      </x:c>
      <x:c r="AY16" s="18" t="str">
        <x:f>IF(OR(C16="yes",X16="corrected",COUNTIF(Z16:AL16,"major")&gt;0,COUNTIF(Z16:AL16,"blocker")&gt;0,OR(AO16="repair",AO16="segment",AO16="replace",AO16="block")),"yes","no")</x:f>
        <x:v>yes</x:v>
      </x:c>
      <x:c r="AZ16" s="18" t="str">
        <x:f>IF(AND(V16="reviewed",W16&gt;=1,X16&lt;&gt;"",Y16&lt;&gt;"",COUNTA(Z16:AL16)=13,AM16&lt;&gt;"",AN16&lt;&gt;"",AO16&lt;&gt;"",AP16&lt;&gt;"",AQ16&lt;&gt;"",AR16&lt;&gt;"",AS16="I_listened_at_1x_and_completed_all_required_fields",AT16&lt;&gt;"",AW16="adjudicated",OR(AY16="no",AND(AU16&lt;&gt;"",AV16&lt;&gt;""))),"complete","incomplete")</x:f>
        <x:v>incomplete</x:v>
      </x:c>
      <x:c r="BA16" s="18" t="str">
        <x:f>IF(AZ16="complete","none","faltan campos humanos, adjudicación o segunda revisión")</x:f>
        <x:v>faltan campos humanos, adjudicación o segunda revisión</x:v>
      </x:c>
    </x:row>
    <x:row r="17" ht="36" customHeight="1">
      <x:c r="A17" s="15" t="n">
        <x:v>16</x:v>
      </x:c>
      <x:c r="B17" s="15" t="str">
        <x:v>CAL-01</x:v>
      </x:c>
      <x:c r="C17" s="15" t="str">
        <x:v>yes</x:v>
      </x:c>
      <x:c r="D17" s="15" t="str">
        <x:v>asset:toefl:set-1:part-12:repeat-1</x:v>
      </x:c>
      <x:c r="E17" s="15" t="str">
        <x:v>set-1</x:v>
      </x:c>
      <x:c r="F17" s="15" t="str">
        <x:v>Listen and Repeat</x:v>
      </x:c>
      <x:c r="G17" s="15" t="str">
        <x:v>/Users/josedavidduartesilva/Developer/idiomaswl/public/audio/toefl/set-1/repeat-1.mp3</x:v>
      </x:c>
      <x:c r="H17" s="19" t="n">
        <x:v>1.44</x:v>
      </x:c>
      <x:c r="I17" s="15" t="str">
        <x:v>P3</x:v>
      </x:c>
      <x:c r="J17" s="15" t="str">
        <x:v>stratified_sample_T08</x:v>
      </x:c>
      <x:c r="K17" s="15" t="str">
        <x:v>pass_with_actionable_warning</x:v>
      </x:c>
      <x:c r="L17" s="15" t="str">
        <x:v>none</x:v>
      </x:c>
      <x:c r="M17" s="15" t="str">
        <x:v>TECH-LDN-003</x:v>
      </x:c>
      <x:c r="N17" s="15" t="str">
        <x:v>review_warning_in_T08_before_conserve</x:v>
      </x:c>
      <x:c r="O17" s="15" t="str">
        <x:v>source_exact_normalized_supported_pending_human</x:v>
      </x:c>
      <x:c r="P17" s="15" t="str">
        <x:v>stratified_human_confirmation</x:v>
      </x:c>
      <x:c r="Q17" s="15" t="str">
        <x:v>The office is closed.</x:v>
      </x:c>
      <x:c r="R17" s="15" t="str">
        <x:v>The office is closed.</x:v>
      </x:c>
      <x:c r="S17" s="15" t="str">
        <x:v>none</x:v>
      </x:c>
      <x:c r="T17" s="15" t="str">
        <x:v>source_contract_preserved_subject_to_T08</x:v>
      </x:c>
      <x:c r="U17" s="15" t="str">
        <x:v>A_linguistic_conserve_candidate</x:v>
      </x:c>
      <x:c r="V17" s="16" t="str">
        <x:v>not_started</x:v>
      </x:c>
      <x:c r="W17" s="16"/>
      <x:c r="X17" s="16"/>
      <x:c r="Y17" s="16"/>
      <x:c r="Z17" s="16"/>
      <x:c r="AA17" s="16"/>
      <x:c r="AB17" s="16"/>
      <x:c r="AC17" s="16"/>
      <x:c r="AD17" s="16"/>
      <x:c r="AE17" s="16"/>
      <x:c r="AF17" s="16"/>
      <x:c r="AG17" s="16"/>
      <x:c r="AH17" s="16"/>
      <x:c r="AI17" s="16"/>
      <x:c r="AJ17" s="16"/>
      <x:c r="AK17" s="16"/>
      <x:c r="AL17" s="16"/>
      <x:c r="AM17" s="16"/>
      <x:c r="AN17" s="16"/>
      <x:c r="AO17" s="16"/>
      <x:c r="AP17" s="16"/>
      <x:c r="AQ17" s="16"/>
      <x:c r="AR17" s="16"/>
      <x:c r="AS17" s="16"/>
      <x:c r="AT17" s="20"/>
      <x:c r="AU17" s="16"/>
      <x:c r="AV17" s="16"/>
      <x:c r="AW17" s="16" t="str">
        <x:v>pending</x:v>
      </x:c>
      <x:c r="AX17" s="17" t="str">
        <x:v>blocked_not_validated</x:v>
      </x:c>
      <x:c r="AY17" s="18" t="str">
        <x:f>IF(OR(C17="yes",X17="corrected",COUNTIF(Z17:AL17,"major")&gt;0,COUNTIF(Z17:AL17,"blocker")&gt;0,OR(AO17="repair",AO17="segment",AO17="replace",AO17="block")),"yes","no")</x:f>
        <x:v>yes</x:v>
      </x:c>
      <x:c r="AZ17" s="18" t="str">
        <x:f>IF(AND(V17="reviewed",W17&gt;=1,X17&lt;&gt;"",Y17&lt;&gt;"",COUNTA(Z17:AL17)=13,AM17&lt;&gt;"",AN17&lt;&gt;"",AO17&lt;&gt;"",AP17&lt;&gt;"",AQ17&lt;&gt;"",AR17&lt;&gt;"",AS17="I_listened_at_1x_and_completed_all_required_fields",AT17&lt;&gt;"",AW17="adjudicated",OR(AY17="no",AND(AU17&lt;&gt;"",AV17&lt;&gt;""))),"complete","incomplete")</x:f>
        <x:v>incomplete</x:v>
      </x:c>
      <x:c r="BA17" s="18" t="str">
        <x:f>IF(AZ17="complete","none","faltan campos humanos, adjudicación o segunda revisión")</x:f>
        <x:v>faltan campos humanos, adjudicación o segunda revisión</x:v>
      </x:c>
    </x:row>
    <x:row r="18" ht="36" customHeight="1">
      <x:c r="A18" s="15" t="n">
        <x:v>17</x:v>
      </x:c>
      <x:c r="B18" s="15" t="str">
        <x:v>CAL-01</x:v>
      </x:c>
      <x:c r="C18" s="15" t="str">
        <x:v>yes</x:v>
      </x:c>
      <x:c r="D18" s="15" t="str">
        <x:v>asset:toefl:set-1:part-12:repeat-2</x:v>
      </x:c>
      <x:c r="E18" s="15" t="str">
        <x:v>set-1</x:v>
      </x:c>
      <x:c r="F18" s="15" t="str">
        <x:v>Listen and Repeat</x:v>
      </x:c>
      <x:c r="G18" s="15" t="str">
        <x:v>/Users/josedavidduartesilva/Developer/idiomaswl/public/audio/toefl/set-1/repeat-2.mp3</x:v>
      </x:c>
      <x:c r="H18" s="19" t="n">
        <x:v>2.48</x:v>
      </x:c>
      <x:c r="I18" s="15" t="str">
        <x:v>P3</x:v>
      </x:c>
      <x:c r="J18" s="15" t="str">
        <x:v>stratified_sample_T08</x:v>
      </x:c>
      <x:c r="K18" s="15" t="str">
        <x:v>pass_with_actionable_warning</x:v>
      </x:c>
      <x:c r="L18" s="15" t="str">
        <x:v>none</x:v>
      </x:c>
      <x:c r="M18" s="15" t="str">
        <x:v>TECH-LDN-003</x:v>
      </x:c>
      <x:c r="N18" s="15" t="str">
        <x:v>review_warning_in_T08_before_conserve</x:v>
      </x:c>
      <x:c r="O18" s="15" t="str">
        <x:v>source_exact_normalized_supported_pending_human</x:v>
      </x:c>
      <x:c r="P18" s="15" t="str">
        <x:v>stratified_human_confirmation</x:v>
      </x:c>
      <x:c r="Q18" s="15" t="str">
        <x:v>She made a cake for her brother's birthday.</x:v>
      </x:c>
      <x:c r="R18" s="15" t="str">
        <x:v>She made a cake for her brother's birthday.</x:v>
      </x:c>
      <x:c r="S18" s="15" t="str">
        <x:v>none</x:v>
      </x:c>
      <x:c r="T18" s="15" t="str">
        <x:v>source_contract_preserved_subject_to_T08</x:v>
      </x:c>
      <x:c r="U18" s="15" t="str">
        <x:v>A_linguistic_conserve_candidate</x:v>
      </x:c>
      <x:c r="V18" s="16" t="str">
        <x:v>not_started</x:v>
      </x:c>
      <x:c r="W18" s="16"/>
      <x:c r="X18" s="16"/>
      <x:c r="Y18" s="16"/>
      <x:c r="Z18" s="16"/>
      <x:c r="AA18" s="16"/>
      <x:c r="AB18" s="16"/>
      <x:c r="AC18" s="16"/>
      <x:c r="AD18" s="16"/>
      <x:c r="AE18" s="16"/>
      <x:c r="AF18" s="16"/>
      <x:c r="AG18" s="16"/>
      <x:c r="AH18" s="16"/>
      <x:c r="AI18" s="16"/>
      <x:c r="AJ18" s="16"/>
      <x:c r="AK18" s="16"/>
      <x:c r="AL18" s="16"/>
      <x:c r="AM18" s="16"/>
      <x:c r="AN18" s="16"/>
      <x:c r="AO18" s="16"/>
      <x:c r="AP18" s="16"/>
      <x:c r="AQ18" s="16"/>
      <x:c r="AR18" s="16"/>
      <x:c r="AS18" s="16"/>
      <x:c r="AT18" s="20"/>
      <x:c r="AU18" s="16"/>
      <x:c r="AV18" s="16"/>
      <x:c r="AW18" s="16" t="str">
        <x:v>pending</x:v>
      </x:c>
      <x:c r="AX18" s="17" t="str">
        <x:v>blocked_not_validated</x:v>
      </x:c>
      <x:c r="AY18" s="18" t="str">
        <x:f>IF(OR(C18="yes",X18="corrected",COUNTIF(Z18:AL18,"major")&gt;0,COUNTIF(Z18:AL18,"blocker")&gt;0,OR(AO18="repair",AO18="segment",AO18="replace",AO18="block")),"yes","no")</x:f>
        <x:v>yes</x:v>
      </x:c>
      <x:c r="AZ18" s="18" t="str">
        <x:f>IF(AND(V18="reviewed",W18&gt;=1,X18&lt;&gt;"",Y18&lt;&gt;"",COUNTA(Z18:AL18)=13,AM18&lt;&gt;"",AN18&lt;&gt;"",AO18&lt;&gt;"",AP18&lt;&gt;"",AQ18&lt;&gt;"",AR18&lt;&gt;"",AS18="I_listened_at_1x_and_completed_all_required_fields",AT18&lt;&gt;"",AW18="adjudicated",OR(AY18="no",AND(AU18&lt;&gt;"",AV18&lt;&gt;""))),"complete","incomplete")</x:f>
        <x:v>incomplete</x:v>
      </x:c>
      <x:c r="BA18" s="18" t="str">
        <x:f>IF(AZ18="complete","none","faltan campos humanos, adjudicación o segunda revisión")</x:f>
        <x:v>faltan campos humanos, adjudicación o segunda revisión</x:v>
      </x:c>
    </x:row>
    <x:row r="19" ht="36" customHeight="1">
      <x:c r="A19" s="15" t="n">
        <x:v>18</x:v>
      </x:c>
      <x:c r="B19" s="15" t="str">
        <x:v>CAL-01</x:v>
      </x:c>
      <x:c r="C19" s="15" t="str">
        <x:v>yes</x:v>
      </x:c>
      <x:c r="D19" s="15" t="str">
        <x:v>asset:toefl:set-1:part-12:repeat-3</x:v>
      </x:c>
      <x:c r="E19" s="15" t="str">
        <x:v>set-1</x:v>
      </x:c>
      <x:c r="F19" s="15" t="str">
        <x:v>Listen and Repeat</x:v>
      </x:c>
      <x:c r="G19" s="15" t="str">
        <x:v>/Users/josedavidduartesilva/Developer/idiomaswl/public/audio/toefl/set-1/repeat-3.mp3</x:v>
      </x:c>
      <x:c r="H19" s="19" t="n">
        <x:v>3.52</x:v>
      </x:c>
      <x:c r="I19" s="15" t="str">
        <x:v>P3</x:v>
      </x:c>
      <x:c r="J19" s="15" t="str">
        <x:v>stratified_sample_T08</x:v>
      </x:c>
      <x:c r="K19" s="15" t="str">
        <x:v>pass_automated_T06</x:v>
      </x:c>
      <x:c r="L19" s="15" t="str">
        <x:v>none</x:v>
      </x:c>
      <x:c r="M19" s="15" t="str">
        <x:v>none</x:v>
      </x:c>
      <x:c r="N19" s="15" t="str">
        <x:v>conserve_source_technical_candidate</x:v>
      </x:c>
      <x:c r="O19" s="15" t="str">
        <x:v>source_exact_normalized_supported_pending_human</x:v>
      </x:c>
      <x:c r="P19" s="15" t="str">
        <x:v>stratified_human_confirmation</x:v>
      </x:c>
      <x:c r="Q19" s="15" t="str">
        <x:v>The workers repaired the road after the heavy rain.</x:v>
      </x:c>
      <x:c r="R19" s="15" t="str">
        <x:v>The workers repaired the road after the heavy rain.</x:v>
      </x:c>
      <x:c r="S19" s="15" t="str">
        <x:v>none</x:v>
      </x:c>
      <x:c r="T19" s="15" t="str">
        <x:v>source_contract_preserved_subject_to_T08</x:v>
      </x:c>
      <x:c r="U19" s="15" t="str">
        <x:v>A_linguistic_conserve_candidate</x:v>
      </x:c>
      <x:c r="V19" s="16" t="str">
        <x:v>not_started</x:v>
      </x:c>
      <x:c r="W19" s="16"/>
      <x:c r="X19" s="16"/>
      <x:c r="Y19" s="16"/>
      <x:c r="Z19" s="16"/>
      <x:c r="AA19" s="16"/>
      <x:c r="AB19" s="16"/>
      <x:c r="AC19" s="16"/>
      <x:c r="AD19" s="16"/>
      <x:c r="AE19" s="16"/>
      <x:c r="AF19" s="16"/>
      <x:c r="AG19" s="16"/>
      <x:c r="AH19" s="16"/>
      <x:c r="AI19" s="16"/>
      <x:c r="AJ19" s="16"/>
      <x:c r="AK19" s="16"/>
      <x:c r="AL19" s="16"/>
      <x:c r="AM19" s="16"/>
      <x:c r="AN19" s="16"/>
      <x:c r="AO19" s="16"/>
      <x:c r="AP19" s="16"/>
      <x:c r="AQ19" s="16"/>
      <x:c r="AR19" s="16"/>
      <x:c r="AS19" s="16"/>
      <x:c r="AT19" s="20"/>
      <x:c r="AU19" s="16"/>
      <x:c r="AV19" s="16"/>
      <x:c r="AW19" s="16" t="str">
        <x:v>pending</x:v>
      </x:c>
      <x:c r="AX19" s="17" t="str">
        <x:v>blocked_not_validated</x:v>
      </x:c>
      <x:c r="AY19" s="18" t="str">
        <x:f>IF(OR(C19="yes",X19="corrected",COUNTIF(Z19:AL19,"major")&gt;0,COUNTIF(Z19:AL19,"blocker")&gt;0,OR(AO19="repair",AO19="segment",AO19="replace",AO19="block")),"yes","no")</x:f>
        <x:v>yes</x:v>
      </x:c>
      <x:c r="AZ19" s="18" t="str">
        <x:f>IF(AND(V19="reviewed",W19&gt;=1,X19&lt;&gt;"",Y19&lt;&gt;"",COUNTA(Z19:AL19)=13,AM19&lt;&gt;"",AN19&lt;&gt;"",AO19&lt;&gt;"",AP19&lt;&gt;"",AQ19&lt;&gt;"",AR19&lt;&gt;"",AS19="I_listened_at_1x_and_completed_all_required_fields",AT19&lt;&gt;"",AW19="adjudicated",OR(AY19="no",AND(AU19&lt;&gt;"",AV19&lt;&gt;""))),"complete","incomplete")</x:f>
        <x:v>incomplete</x:v>
      </x:c>
      <x:c r="BA19" s="18" t="str">
        <x:f>IF(AZ19="complete","none","faltan campos humanos, adjudicación o segunda revisión")</x:f>
        <x:v>faltan campos humanos, adjudicación o segunda revisión</x:v>
      </x:c>
    </x:row>
    <x:row r="20" ht="36" customHeight="1">
      <x:c r="A20" s="15" t="n">
        <x:v>19</x:v>
      </x:c>
      <x:c r="B20" s="15" t="str">
        <x:v>CAL-01</x:v>
      </x:c>
      <x:c r="C20" s="15" t="str">
        <x:v>yes</x:v>
      </x:c>
      <x:c r="D20" s="15" t="str">
        <x:v>asset:toefl:set-1:part-12:repeat-4</x:v>
      </x:c>
      <x:c r="E20" s="15" t="str">
        <x:v>set-1</x:v>
      </x:c>
      <x:c r="F20" s="15" t="str">
        <x:v>Listen and Repeat</x:v>
      </x:c>
      <x:c r="G20" s="15" t="str">
        <x:v>/Users/josedavidduartesilva/Developer/idiomaswl/public/audio/toefl/set-1/repeat-4.mp3</x:v>
      </x:c>
      <x:c r="H20" s="19" t="n">
        <x:v>3.36</x:v>
      </x:c>
      <x:c r="I20" s="15" t="str">
        <x:v>P3</x:v>
      </x:c>
      <x:c r="J20" s="15" t="str">
        <x:v>stratified_sample_T08</x:v>
      </x:c>
      <x:c r="K20" s="15" t="str">
        <x:v>pass_with_actionable_warning</x:v>
      </x:c>
      <x:c r="L20" s="15" t="str">
        <x:v>none</x:v>
      </x:c>
      <x:c r="M20" s="15" t="str">
        <x:v>TECH-PEAK-003</x:v>
      </x:c>
      <x:c r="N20" s="15" t="str">
        <x:v>review_warning_in_T08_before_conserve</x:v>
      </x:c>
      <x:c r="O20" s="15" t="str">
        <x:v>source_exact_normalized_supported_pending_human</x:v>
      </x:c>
      <x:c r="P20" s="15" t="str">
        <x:v>stratified_human_confirmation</x:v>
      </x:c>
      <x:c r="Q20" s="15" t="str">
        <x:v>The professor announced that the deadline had been extended by one week.</x:v>
      </x:c>
      <x:c r="R20" s="15" t="str">
        <x:v>The professor announced that the deadline had been extended by one week.</x:v>
      </x:c>
      <x:c r="S20" s="15" t="str">
        <x:v>none</x:v>
      </x:c>
      <x:c r="T20" s="15" t="str">
        <x:v>source_contract_preserved_subject_to_T08</x:v>
      </x:c>
      <x:c r="U20" s="15" t="str">
        <x:v>A_linguistic_conserve_candidate</x:v>
      </x:c>
      <x:c r="V20" s="16" t="str">
        <x:v>not_started</x:v>
      </x:c>
      <x:c r="W20" s="16"/>
      <x:c r="X20" s="16"/>
      <x:c r="Y20" s="16"/>
      <x:c r="Z20" s="16"/>
      <x:c r="AA20" s="16"/>
      <x:c r="AB20" s="16"/>
      <x:c r="AC20" s="16"/>
      <x:c r="AD20" s="16"/>
      <x:c r="AE20" s="16"/>
      <x:c r="AF20" s="16"/>
      <x:c r="AG20" s="16"/>
      <x:c r="AH20" s="16"/>
      <x:c r="AI20" s="16"/>
      <x:c r="AJ20" s="16"/>
      <x:c r="AK20" s="16"/>
      <x:c r="AL20" s="16"/>
      <x:c r="AM20" s="16"/>
      <x:c r="AN20" s="16"/>
      <x:c r="AO20" s="16"/>
      <x:c r="AP20" s="16"/>
      <x:c r="AQ20" s="16"/>
      <x:c r="AR20" s="16"/>
      <x:c r="AS20" s="16"/>
      <x:c r="AT20" s="20"/>
      <x:c r="AU20" s="16"/>
      <x:c r="AV20" s="16"/>
      <x:c r="AW20" s="16" t="str">
        <x:v>pending</x:v>
      </x:c>
      <x:c r="AX20" s="17" t="str">
        <x:v>blocked_not_validated</x:v>
      </x:c>
      <x:c r="AY20" s="18" t="str">
        <x:f>IF(OR(C20="yes",X20="corrected",COUNTIF(Z20:AL20,"major")&gt;0,COUNTIF(Z20:AL20,"blocker")&gt;0,OR(AO20="repair",AO20="segment",AO20="replace",AO20="block")),"yes","no")</x:f>
        <x:v>yes</x:v>
      </x:c>
      <x:c r="AZ20" s="18" t="str">
        <x:f>IF(AND(V20="reviewed",W20&gt;=1,X20&lt;&gt;"",Y20&lt;&gt;"",COUNTA(Z20:AL20)=13,AM20&lt;&gt;"",AN20&lt;&gt;"",AO20&lt;&gt;"",AP20&lt;&gt;"",AQ20&lt;&gt;"",AR20&lt;&gt;"",AS20="I_listened_at_1x_and_completed_all_required_fields",AT20&lt;&gt;"",AW20="adjudicated",OR(AY20="no",AND(AU20&lt;&gt;"",AV20&lt;&gt;""))),"complete","incomplete")</x:f>
        <x:v>incomplete</x:v>
      </x:c>
      <x:c r="BA20" s="18" t="str">
        <x:f>IF(AZ20="complete","none","faltan campos humanos, adjudicación o segunda revisión")</x:f>
        <x:v>faltan campos humanos, adjudicación o segunda revisión</x:v>
      </x:c>
    </x:row>
    <x:row r="21" ht="36" customHeight="1">
      <x:c r="A21" s="15" t="n">
        <x:v>20</x:v>
      </x:c>
      <x:c r="B21" s="15" t="str">
        <x:v>CAL-01</x:v>
      </x:c>
      <x:c r="C21" s="15" t="str">
        <x:v>yes</x:v>
      </x:c>
      <x:c r="D21" s="15" t="str">
        <x:v>asset:toefl:set-1:part-12:repeat-5</x:v>
      </x:c>
      <x:c r="E21" s="15" t="str">
        <x:v>set-1</x:v>
      </x:c>
      <x:c r="F21" s="15" t="str">
        <x:v>Listen and Repeat</x:v>
      </x:c>
      <x:c r="G21" s="15" t="str">
        <x:v>/Users/josedavidduartesilva/Developer/idiomaswl/public/audio/toefl/set-1/repeat-5.mp3</x:v>
      </x:c>
      <x:c r="H21" s="19" t="n">
        <x:v>4.56</x:v>
      </x:c>
      <x:c r="I21" s="15" t="str">
        <x:v>P3</x:v>
      </x:c>
      <x:c r="J21" s="15" t="str">
        <x:v>stratified_sample_T08</x:v>
      </x:c>
      <x:c r="K21" s="15" t="str">
        <x:v>pass_automated_T06</x:v>
      </x:c>
      <x:c r="L21" s="15" t="str">
        <x:v>none</x:v>
      </x:c>
      <x:c r="M21" s="15" t="str">
        <x:v>none</x:v>
      </x:c>
      <x:c r="N21" s="15" t="str">
        <x:v>conserve_source_technical_candidate</x:v>
      </x:c>
      <x:c r="O21" s="15" t="str">
        <x:v>source_exact_normalized_supported_pending_human</x:v>
      </x:c>
      <x:c r="P21" s="15" t="str">
        <x:v>stratified_human_confirmation</x:v>
      </x:c>
      <x:c r="Q21" s="15" t="str">
        <x:v>Because the tickets had sold out quickly, the band agreed to perform a second concert.</x:v>
      </x:c>
      <x:c r="R21" s="15" t="str">
        <x:v>Because the tickets had sold out quickly, the band agreed to perform a second concert.</x:v>
      </x:c>
      <x:c r="S21" s="15" t="str">
        <x:v>none</x:v>
      </x:c>
      <x:c r="T21" s="15" t="str">
        <x:v>source_contract_preserved_subject_to_T08</x:v>
      </x:c>
      <x:c r="U21" s="15" t="str">
        <x:v>A_linguistic_conserve_candidate</x:v>
      </x:c>
      <x:c r="V21" s="16" t="str">
        <x:v>not_started</x:v>
      </x:c>
      <x:c r="W21" s="16"/>
      <x:c r="X21" s="16"/>
      <x:c r="Y21" s="16"/>
      <x:c r="Z21" s="16"/>
      <x:c r="AA21" s="16"/>
      <x:c r="AB21" s="16"/>
      <x:c r="AC21" s="16"/>
      <x:c r="AD21" s="16"/>
      <x:c r="AE21" s="16"/>
      <x:c r="AF21" s="16"/>
      <x:c r="AG21" s="16"/>
      <x:c r="AH21" s="16"/>
      <x:c r="AI21" s="16"/>
      <x:c r="AJ21" s="16"/>
      <x:c r="AK21" s="16"/>
      <x:c r="AL21" s="16"/>
      <x:c r="AM21" s="16"/>
      <x:c r="AN21" s="16"/>
      <x:c r="AO21" s="16"/>
      <x:c r="AP21" s="16"/>
      <x:c r="AQ21" s="16"/>
      <x:c r="AR21" s="16"/>
      <x:c r="AS21" s="16"/>
      <x:c r="AT21" s="20"/>
      <x:c r="AU21" s="16"/>
      <x:c r="AV21" s="16"/>
      <x:c r="AW21" s="16" t="str">
        <x:v>pending</x:v>
      </x:c>
      <x:c r="AX21" s="17" t="str">
        <x:v>blocked_not_validated</x:v>
      </x:c>
      <x:c r="AY21" s="18" t="str">
        <x:f>IF(OR(C21="yes",X21="corrected",COUNTIF(Z21:AL21,"major")&gt;0,COUNTIF(Z21:AL21,"blocker")&gt;0,OR(AO21="repair",AO21="segment",AO21="replace",AO21="block")),"yes","no")</x:f>
        <x:v>yes</x:v>
      </x:c>
      <x:c r="AZ21" s="18" t="str">
        <x:f>IF(AND(V21="reviewed",W21&gt;=1,X21&lt;&gt;"",Y21&lt;&gt;"",COUNTA(Z21:AL21)=13,AM21&lt;&gt;"",AN21&lt;&gt;"",AO21&lt;&gt;"",AP21&lt;&gt;"",AQ21&lt;&gt;"",AR21&lt;&gt;"",AS21="I_listened_at_1x_and_completed_all_required_fields",AT21&lt;&gt;"",AW21="adjudicated",OR(AY21="no",AND(AU21&lt;&gt;"",AV21&lt;&gt;""))),"complete","incomplete")</x:f>
        <x:v>incomplete</x:v>
      </x:c>
      <x:c r="BA21" s="18" t="str">
        <x:f>IF(AZ21="complete","none","faltan campos humanos, adjudicación o segunda revisión")</x:f>
        <x:v>faltan campos humanos, adjudicación o segunda revisión</x:v>
      </x:c>
    </x:row>
    <x:row r="22" ht="36" customHeight="1">
      <x:c r="A22" s="15" t="n">
        <x:v>21</x:v>
      </x:c>
      <x:c r="B22" s="15" t="str">
        <x:v>P1-CHOOSE</x:v>
      </x:c>
      <x:c r="C22" s="15" t="str">
        <x:v>no</x:v>
      </x:c>
      <x:c r="D22" s="15" t="str">
        <x:v>asset:toefl:set-2:part-5:listen-choose-1</x:v>
      </x:c>
      <x:c r="E22" s="15" t="str">
        <x:v>set-2</x:v>
      </x:c>
      <x:c r="F22" s="15" t="str">
        <x:v>Listen and Choose a Response</x:v>
      </x:c>
      <x:c r="G22" s="15" t="str">
        <x:v>/Users/josedavidduartesilva/Developer/idiomaswl/public/audio/toefl/set-2/listen-choose-1.mp3</x:v>
      </x:c>
      <x:c r="H22" s="19" t="n">
        <x:v>2.82</x:v>
      </x:c>
      <x:c r="I22" s="15" t="str">
        <x:v>P1</x:v>
      </x:c>
      <x:c r="J22" s="15" t="str">
        <x:v>100_percent_required_T08</x:v>
      </x:c>
      <x:c r="K22" s="15" t="str">
        <x:v>pass_automated_T06</x:v>
      </x:c>
      <x:c r="L22" s="15" t="str">
        <x:v>none</x:v>
      </x:c>
      <x:c r="M22" s="15" t="str">
        <x:v>none</x:v>
      </x:c>
      <x:c r="N22" s="15" t="str">
        <x:v>conserve_source_technical_candidate</x:v>
      </x:c>
      <x:c r="O22" s="15" t="str">
        <x:v>asr_candidate_recovered_pending_human</x:v>
      </x:c>
      <x:c r="P22" s="15" t="str">
        <x:v>LING-SOURCE-001;LING-STRESS-001</x:v>
      </x:c>
      <x:c r="Q22" s="15" t="str"/>
      <x:c r="R22" s="15" t="str">
        <x:v>Excuse me, where is the science lab?</x:v>
      </x:c>
      <x:c r="S22" s="15" t="str">
        <x:v>no_source_candidate</x:v>
      </x:c>
      <x:c r="T22" s="15" t="str">
        <x:v>manual_exchange_review_pass_pending_T08</x:v>
      </x:c>
      <x:c r="U22" s="15" t="str">
        <x:v>B_transcript_adjudication_candidate</x:v>
      </x:c>
      <x:c r="V22" s="16" t="str">
        <x:v>not_started</x:v>
      </x:c>
      <x:c r="W22" s="16"/>
      <x:c r="X22" s="16"/>
      <x:c r="Y22" s="16"/>
      <x:c r="Z22" s="16"/>
      <x:c r="AA22" s="16"/>
      <x:c r="AB22" s="16"/>
      <x:c r="AC22" s="16"/>
      <x:c r="AD22" s="16"/>
      <x:c r="AE22" s="16"/>
      <x:c r="AF22" s="16"/>
      <x:c r="AG22" s="16"/>
      <x:c r="AH22" s="16"/>
      <x:c r="AI22" s="16"/>
      <x:c r="AJ22" s="16"/>
      <x:c r="AK22" s="16"/>
      <x:c r="AL22" s="16"/>
      <x:c r="AM22" s="16"/>
      <x:c r="AN22" s="16"/>
      <x:c r="AO22" s="16"/>
      <x:c r="AP22" s="16"/>
      <x:c r="AQ22" s="16"/>
      <x:c r="AR22" s="16"/>
      <x:c r="AS22" s="16"/>
      <x:c r="AT22" s="20"/>
      <x:c r="AU22" s="16"/>
      <x:c r="AV22" s="16"/>
      <x:c r="AW22" s="16" t="str">
        <x:v>pending</x:v>
      </x:c>
      <x:c r="AX22" s="17" t="str">
        <x:v>blocked_not_validated</x:v>
      </x:c>
      <x:c r="AY22" s="18" t="str">
        <x:f>IF(OR(C22="yes",X22="corrected",COUNTIF(Z22:AL22,"major")&gt;0,COUNTIF(Z22:AL22,"blocker")&gt;0,OR(AO22="repair",AO22="segment",AO22="replace",AO22="block")),"yes","no")</x:f>
        <x:v>no</x:v>
      </x:c>
      <x:c r="AZ22" s="18" t="str">
        <x:f>IF(AND(V22="reviewed",W22&gt;=1,X22&lt;&gt;"",Y22&lt;&gt;"",COUNTA(Z22:AL22)=13,AM22&lt;&gt;"",AN22&lt;&gt;"",AO22&lt;&gt;"",AP22&lt;&gt;"",AQ22&lt;&gt;"",AR22&lt;&gt;"",AS22="I_listened_at_1x_and_completed_all_required_fields",AT22&lt;&gt;"",AW22="adjudicated",OR(AY22="no",AND(AU22&lt;&gt;"",AV22&lt;&gt;""))),"complete","incomplete")</x:f>
        <x:v>incomplete</x:v>
      </x:c>
      <x:c r="BA22" s="18" t="str">
        <x:f>IF(AZ22="complete","none","faltan campos humanos, adjudicación o segunda revisión")</x:f>
        <x:v>faltan campos humanos, adjudicación o segunda revisión</x:v>
      </x:c>
    </x:row>
    <x:row r="23" ht="36" customHeight="1">
      <x:c r="A23" s="15" t="n">
        <x:v>22</x:v>
      </x:c>
      <x:c r="B23" s="15" t="str">
        <x:v>P1-CHOOSE</x:v>
      </x:c>
      <x:c r="C23" s="15" t="str">
        <x:v>no</x:v>
      </x:c>
      <x:c r="D23" s="15" t="str">
        <x:v>asset:toefl:set-2:part-5:listen-choose-2</x:v>
      </x:c>
      <x:c r="E23" s="15" t="str">
        <x:v>set-2</x:v>
      </x:c>
      <x:c r="F23" s="15" t="str">
        <x:v>Listen and Choose a Response</x:v>
      </x:c>
      <x:c r="G23" s="15" t="str">
        <x:v>/Users/josedavidduartesilva/Developer/idiomaswl/public/audio/toefl/set-2/listen-choose-2.mp3</x:v>
      </x:c>
      <x:c r="H23" s="19" t="n">
        <x:v>3.46</x:v>
      </x:c>
      <x:c r="I23" s="15" t="str">
        <x:v>P1</x:v>
      </x:c>
      <x:c r="J23" s="15" t="str">
        <x:v>100_percent_required_T08</x:v>
      </x:c>
      <x:c r="K23" s="15" t="str">
        <x:v>pass_with_actionable_warning</x:v>
      </x:c>
      <x:c r="L23" s="15" t="str">
        <x:v>none</x:v>
      </x:c>
      <x:c r="M23" s="15" t="str">
        <x:v>TECH-LDN-003</x:v>
      </x:c>
      <x:c r="N23" s="15" t="str">
        <x:v>review_warning_in_T08_before_conserve</x:v>
      </x:c>
      <x:c r="O23" s="15" t="str">
        <x:v>asr_candidate_recovered_pending_human</x:v>
      </x:c>
      <x:c r="P23" s="15" t="str">
        <x:v>LING-SOURCE-001;LING-STRESS-001</x:v>
      </x:c>
      <x:c r="Q23" s="15" t="str"/>
      <x:c r="R23" s="15" t="str">
        <x:v>Could you give me a hand carrying these boxes upstairs?</x:v>
      </x:c>
      <x:c r="S23" s="15" t="str">
        <x:v>no_source_candidate</x:v>
      </x:c>
      <x:c r="T23" s="15" t="str">
        <x:v>manual_exchange_review_pass_pending_T08</x:v>
      </x:c>
      <x:c r="U23" s="15" t="str">
        <x:v>B_transcript_adjudication_candidate</x:v>
      </x:c>
      <x:c r="V23" s="16" t="str">
        <x:v>not_started</x:v>
      </x:c>
      <x:c r="W23" s="16"/>
      <x:c r="X23" s="16"/>
      <x:c r="Y23" s="16"/>
      <x:c r="Z23" s="16"/>
      <x:c r="AA23" s="16"/>
      <x:c r="AB23" s="16"/>
      <x:c r="AC23" s="16"/>
      <x:c r="AD23" s="16"/>
      <x:c r="AE23" s="16"/>
      <x:c r="AF23" s="16"/>
      <x:c r="AG23" s="16"/>
      <x:c r="AH23" s="16"/>
      <x:c r="AI23" s="16"/>
      <x:c r="AJ23" s="16"/>
      <x:c r="AK23" s="16"/>
      <x:c r="AL23" s="16"/>
      <x:c r="AM23" s="16"/>
      <x:c r="AN23" s="16"/>
      <x:c r="AO23" s="16"/>
      <x:c r="AP23" s="16"/>
      <x:c r="AQ23" s="16"/>
      <x:c r="AR23" s="16"/>
      <x:c r="AS23" s="16"/>
      <x:c r="AT23" s="20"/>
      <x:c r="AU23" s="16"/>
      <x:c r="AV23" s="16"/>
      <x:c r="AW23" s="16" t="str">
        <x:v>pending</x:v>
      </x:c>
      <x:c r="AX23" s="17" t="str">
        <x:v>blocked_not_validated</x:v>
      </x:c>
      <x:c r="AY23" s="18" t="str">
        <x:f>IF(OR(C23="yes",X23="corrected",COUNTIF(Z23:AL23,"major")&gt;0,COUNTIF(Z23:AL23,"blocker")&gt;0,OR(AO23="repair",AO23="segment",AO23="replace",AO23="block")),"yes","no")</x:f>
        <x:v>no</x:v>
      </x:c>
      <x:c r="AZ23" s="18" t="str">
        <x:f>IF(AND(V23="reviewed",W23&gt;=1,X23&lt;&gt;"",Y23&lt;&gt;"",COUNTA(Z23:AL23)=13,AM23&lt;&gt;"",AN23&lt;&gt;"",AO23&lt;&gt;"",AP23&lt;&gt;"",AQ23&lt;&gt;"",AR23&lt;&gt;"",AS23="I_listened_at_1x_and_completed_all_required_fields",AT23&lt;&gt;"",AW23="adjudicated",OR(AY23="no",AND(AU23&lt;&gt;"",AV23&lt;&gt;""))),"complete","incomplete")</x:f>
        <x:v>incomplete</x:v>
      </x:c>
      <x:c r="BA23" s="18" t="str">
        <x:f>IF(AZ23="complete","none","faltan campos humanos, adjudicación o segunda revisión")</x:f>
        <x:v>faltan campos humanos, adjudicación o segunda revisión</x:v>
      </x:c>
    </x:row>
    <x:row r="24" ht="36" customHeight="1">
      <x:c r="A24" s="15" t="n">
        <x:v>23</x:v>
      </x:c>
      <x:c r="B24" s="15" t="str">
        <x:v>P1-CHOOSE</x:v>
      </x:c>
      <x:c r="C24" s="15" t="str">
        <x:v>no</x:v>
      </x:c>
      <x:c r="D24" s="15" t="str">
        <x:v>asset:toefl:set-2:part-5:listen-choose-3</x:v>
      </x:c>
      <x:c r="E24" s="15" t="str">
        <x:v>set-2</x:v>
      </x:c>
      <x:c r="F24" s="15" t="str">
        <x:v>Listen and Choose a Response</x:v>
      </x:c>
      <x:c r="G24" s="15" t="str">
        <x:v>/Users/josedavidduartesilva/Developer/idiomaswl/public/audio/toefl/set-2/listen-choose-3.mp3</x:v>
      </x:c>
      <x:c r="H24" s="19" t="n">
        <x:v>2.18</x:v>
      </x:c>
      <x:c r="I24" s="15" t="str">
        <x:v>P1</x:v>
      </x:c>
      <x:c r="J24" s="15" t="str">
        <x:v>100_percent_required_T08</x:v>
      </x:c>
      <x:c r="K24" s="15" t="str">
        <x:v>pass_automated_T06</x:v>
      </x:c>
      <x:c r="L24" s="15" t="str">
        <x:v>none</x:v>
      </x:c>
      <x:c r="M24" s="15" t="str">
        <x:v>none</x:v>
      </x:c>
      <x:c r="N24" s="15" t="str">
        <x:v>conserve_source_technical_candidate</x:v>
      </x:c>
      <x:c r="O24" s="15" t="str">
        <x:v>asr_candidate_recovered_pending_human</x:v>
      </x:c>
      <x:c r="P24" s="15" t="str">
        <x:v>LING-SOURCE-001;LING-STRESS-001</x:v>
      </x:c>
      <x:c r="Q24" s="15" t="str"/>
      <x:c r="R24" s="15" t="str">
        <x:v>How do I register for the workshop?</x:v>
      </x:c>
      <x:c r="S24" s="15" t="str">
        <x:v>no_source_candidate</x:v>
      </x:c>
      <x:c r="T24" s="15" t="str">
        <x:v>manual_exchange_review_pass_pending_T08</x:v>
      </x:c>
      <x:c r="U24" s="15" t="str">
        <x:v>B_transcript_adjudication_candidate</x:v>
      </x:c>
      <x:c r="V24" s="16" t="str">
        <x:v>not_started</x:v>
      </x:c>
      <x:c r="W24" s="16"/>
      <x:c r="X24" s="16"/>
      <x:c r="Y24" s="16"/>
      <x:c r="Z24" s="16"/>
      <x:c r="AA24" s="16"/>
      <x:c r="AB24" s="16"/>
      <x:c r="AC24" s="16"/>
      <x:c r="AD24" s="16"/>
      <x:c r="AE24" s="16"/>
      <x:c r="AF24" s="16"/>
      <x:c r="AG24" s="16"/>
      <x:c r="AH24" s="16"/>
      <x:c r="AI24" s="16"/>
      <x:c r="AJ24" s="16"/>
      <x:c r="AK24" s="16"/>
      <x:c r="AL24" s="16"/>
      <x:c r="AM24" s="16"/>
      <x:c r="AN24" s="16"/>
      <x:c r="AO24" s="16"/>
      <x:c r="AP24" s="16"/>
      <x:c r="AQ24" s="16"/>
      <x:c r="AR24" s="16"/>
      <x:c r="AS24" s="16"/>
      <x:c r="AT24" s="20"/>
      <x:c r="AU24" s="16"/>
      <x:c r="AV24" s="16"/>
      <x:c r="AW24" s="16" t="str">
        <x:v>pending</x:v>
      </x:c>
      <x:c r="AX24" s="17" t="str">
        <x:v>blocked_not_validated</x:v>
      </x:c>
      <x:c r="AY24" s="18" t="str">
        <x:f>IF(OR(C24="yes",X24="corrected",COUNTIF(Z24:AL24,"major")&gt;0,COUNTIF(Z24:AL24,"blocker")&gt;0,OR(AO24="repair",AO24="segment",AO24="replace",AO24="block")),"yes","no")</x:f>
        <x:v>no</x:v>
      </x:c>
      <x:c r="AZ24" s="18" t="str">
        <x:f>IF(AND(V24="reviewed",W24&gt;=1,X24&lt;&gt;"",Y24&lt;&gt;"",COUNTA(Z24:AL24)=13,AM24&lt;&gt;"",AN24&lt;&gt;"",AO24&lt;&gt;"",AP24&lt;&gt;"",AQ24&lt;&gt;"",AR24&lt;&gt;"",AS24="I_listened_at_1x_and_completed_all_required_fields",AT24&lt;&gt;"",AW24="adjudicated",OR(AY24="no",AND(AU24&lt;&gt;"",AV24&lt;&gt;""))),"complete","incomplete")</x:f>
        <x:v>incomplete</x:v>
      </x:c>
      <x:c r="BA24" s="18" t="str">
        <x:f>IF(AZ24="complete","none","faltan campos humanos, adjudicación o segunda revisión")</x:f>
        <x:v>faltan campos humanos, adjudicación o segunda revisión</x:v>
      </x:c>
    </x:row>
    <x:row r="25" ht="36" customHeight="1">
      <x:c r="A25" s="15" t="n">
        <x:v>24</x:v>
      </x:c>
      <x:c r="B25" s="15" t="str">
        <x:v>P1-CHOOSE</x:v>
      </x:c>
      <x:c r="C25" s="15" t="str">
        <x:v>no</x:v>
      </x:c>
      <x:c r="D25" s="15" t="str">
        <x:v>asset:toefl:set-2:part-5:listen-choose-4</x:v>
      </x:c>
      <x:c r="E25" s="15" t="str">
        <x:v>set-2</x:v>
      </x:c>
      <x:c r="F25" s="15" t="str">
        <x:v>Listen and Choose a Response</x:v>
      </x:c>
      <x:c r="G25" s="15" t="str">
        <x:v>/Users/josedavidduartesilva/Developer/idiomaswl/public/audio/toefl/set-2/listen-choose-4.mp3</x:v>
      </x:c>
      <x:c r="H25" s="19" t="n">
        <x:v>3.62</x:v>
      </x:c>
      <x:c r="I25" s="15" t="str">
        <x:v>P1</x:v>
      </x:c>
      <x:c r="J25" s="15" t="str">
        <x:v>100_percent_required_T08</x:v>
      </x:c>
      <x:c r="K25" s="15" t="str">
        <x:v>pass_with_actionable_warning</x:v>
      </x:c>
      <x:c r="L25" s="15" t="str">
        <x:v>none</x:v>
      </x:c>
      <x:c r="M25" s="15" t="str">
        <x:v>TECH-LDN-003;TECH-PEAK-003</x:v>
      </x:c>
      <x:c r="N25" s="15" t="str">
        <x:v>review_warning_in_T08_before_conserve</x:v>
      </x:c>
      <x:c r="O25" s="15" t="str">
        <x:v>asr_candidate_recovered_pending_human</x:v>
      </x:c>
      <x:c r="P25" s="15" t="str">
        <x:v>LING-SOURCE-001;LING-STRESS-001</x:v>
      </x:c>
      <x:c r="Q25" s="15" t="str"/>
      <x:c r="R25" s="15" t="str">
        <x:v>Sorry, I'm running a few minutes late. Could you wait for me?</x:v>
      </x:c>
      <x:c r="S25" s="15" t="str">
        <x:v>no_source_candidate</x:v>
      </x:c>
      <x:c r="T25" s="15" t="str">
        <x:v>manual_exchange_review_pass_pending_T08</x:v>
      </x:c>
      <x:c r="U25" s="15" t="str">
        <x:v>B_transcript_adjudication_candidate</x:v>
      </x:c>
      <x:c r="V25" s="16" t="str">
        <x:v>not_started</x:v>
      </x:c>
      <x:c r="W25" s="16"/>
      <x:c r="X25" s="16"/>
      <x:c r="Y25" s="16"/>
      <x:c r="Z25" s="16"/>
      <x:c r="AA25" s="16"/>
      <x:c r="AB25" s="16"/>
      <x:c r="AC25" s="16"/>
      <x:c r="AD25" s="16"/>
      <x:c r="AE25" s="16"/>
      <x:c r="AF25" s="16"/>
      <x:c r="AG25" s="16"/>
      <x:c r="AH25" s="16"/>
      <x:c r="AI25" s="16"/>
      <x:c r="AJ25" s="16"/>
      <x:c r="AK25" s="16"/>
      <x:c r="AL25" s="16"/>
      <x:c r="AM25" s="16"/>
      <x:c r="AN25" s="16"/>
      <x:c r="AO25" s="16"/>
      <x:c r="AP25" s="16"/>
      <x:c r="AQ25" s="16"/>
      <x:c r="AR25" s="16"/>
      <x:c r="AS25" s="16"/>
      <x:c r="AT25" s="20"/>
      <x:c r="AU25" s="16"/>
      <x:c r="AV25" s="16"/>
      <x:c r="AW25" s="16" t="str">
        <x:v>pending</x:v>
      </x:c>
      <x:c r="AX25" s="17" t="str">
        <x:v>blocked_not_validated</x:v>
      </x:c>
      <x:c r="AY25" s="18" t="str">
        <x:f>IF(OR(C25="yes",X25="corrected",COUNTIF(Z25:AL25,"major")&gt;0,COUNTIF(Z25:AL25,"blocker")&gt;0,OR(AO25="repair",AO25="segment",AO25="replace",AO25="block")),"yes","no")</x:f>
        <x:v>no</x:v>
      </x:c>
      <x:c r="AZ25" s="18" t="str">
        <x:f>IF(AND(V25="reviewed",W25&gt;=1,X25&lt;&gt;"",Y25&lt;&gt;"",COUNTA(Z25:AL25)=13,AM25&lt;&gt;"",AN25&lt;&gt;"",AO25&lt;&gt;"",AP25&lt;&gt;"",AQ25&lt;&gt;"",AR25&lt;&gt;"",AS25="I_listened_at_1x_and_completed_all_required_fields",AT25&lt;&gt;"",AW25="adjudicated",OR(AY25="no",AND(AU25&lt;&gt;"",AV25&lt;&gt;""))),"complete","incomplete")</x:f>
        <x:v>incomplete</x:v>
      </x:c>
      <x:c r="BA25" s="18" t="str">
        <x:f>IF(AZ25="complete","none","faltan campos humanos, adjudicación o segunda revisión")</x:f>
        <x:v>faltan campos humanos, adjudicación o segunda revisión</x:v>
      </x:c>
    </x:row>
    <x:row r="26" ht="36" customHeight="1">
      <x:c r="A26" s="15" t="n">
        <x:v>25</x:v>
      </x:c>
      <x:c r="B26" s="15" t="str">
        <x:v>P1-CHOOSE</x:v>
      </x:c>
      <x:c r="C26" s="15" t="str">
        <x:v>no</x:v>
      </x:c>
      <x:c r="D26" s="15" t="str">
        <x:v>asset:toefl:set-2:part-5:listen-choose-5</x:v>
      </x:c>
      <x:c r="E26" s="15" t="str">
        <x:v>set-2</x:v>
      </x:c>
      <x:c r="F26" s="15" t="str">
        <x:v>Listen and Choose a Response</x:v>
      </x:c>
      <x:c r="G26" s="15" t="str">
        <x:v>/Users/josedavidduartesilva/Developer/idiomaswl/public/audio/toefl/set-2/listen-choose-5.mp3</x:v>
      </x:c>
      <x:c r="H26" s="19" t="n">
        <x:v>3.3</x:v>
      </x:c>
      <x:c r="I26" s="15" t="str">
        <x:v>P1</x:v>
      </x:c>
      <x:c r="J26" s="15" t="str">
        <x:v>100_percent_required_T08</x:v>
      </x:c>
      <x:c r="K26" s="15" t="str">
        <x:v>pass_automated_T06</x:v>
      </x:c>
      <x:c r="L26" s="15" t="str">
        <x:v>none</x:v>
      </x:c>
      <x:c r="M26" s="15" t="str">
        <x:v>none</x:v>
      </x:c>
      <x:c r="N26" s="15" t="str">
        <x:v>conserve_source_technical_candidate</x:v>
      </x:c>
      <x:c r="O26" s="15" t="str">
        <x:v>asr_candidate_recovered_pending_human</x:v>
      </x:c>
      <x:c r="P26" s="15" t="str">
        <x:v>LING-SOURCE-001;LING-STRESS-001;LING-DUP-001</x:v>
      </x:c>
      <x:c r="Q26" s="15" t="str"/>
      <x:c r="R26" s="15" t="str">
        <x:v>You look really happy today. Did something good happen?</x:v>
      </x:c>
      <x:c r="S26" s="15" t="str">
        <x:v>no_source_candidate</x:v>
      </x:c>
      <x:c r="T26" s="15" t="str">
        <x:v>manual_exchange_review_pass_pending_T08</x:v>
      </x:c>
      <x:c r="U26" s="15" t="str">
        <x:v>B_transcript_adjudication_candidate</x:v>
      </x:c>
      <x:c r="V26" s="16" t="str">
        <x:v>not_started</x:v>
      </x:c>
      <x:c r="W26" s="16"/>
      <x:c r="X26" s="16"/>
      <x:c r="Y26" s="16"/>
      <x:c r="Z26" s="16"/>
      <x:c r="AA26" s="16"/>
      <x:c r="AB26" s="16"/>
      <x:c r="AC26" s="16"/>
      <x:c r="AD26" s="16"/>
      <x:c r="AE26" s="16"/>
      <x:c r="AF26" s="16"/>
      <x:c r="AG26" s="16"/>
      <x:c r="AH26" s="16"/>
      <x:c r="AI26" s="16"/>
      <x:c r="AJ26" s="16"/>
      <x:c r="AK26" s="16"/>
      <x:c r="AL26" s="16"/>
      <x:c r="AM26" s="16"/>
      <x:c r="AN26" s="16"/>
      <x:c r="AO26" s="16"/>
      <x:c r="AP26" s="16"/>
      <x:c r="AQ26" s="16"/>
      <x:c r="AR26" s="16"/>
      <x:c r="AS26" s="16"/>
      <x:c r="AT26" s="20"/>
      <x:c r="AU26" s="16"/>
      <x:c r="AV26" s="16"/>
      <x:c r="AW26" s="16" t="str">
        <x:v>pending</x:v>
      </x:c>
      <x:c r="AX26" s="17" t="str">
        <x:v>blocked_not_validated</x:v>
      </x:c>
      <x:c r="AY26" s="18" t="str">
        <x:f>IF(OR(C26="yes",X26="corrected",COUNTIF(Z26:AL26,"major")&gt;0,COUNTIF(Z26:AL26,"blocker")&gt;0,OR(AO26="repair",AO26="segment",AO26="replace",AO26="block")),"yes","no")</x:f>
        <x:v>no</x:v>
      </x:c>
      <x:c r="AZ26" s="18" t="str">
        <x:f>IF(AND(V26="reviewed",W26&gt;=1,X26&lt;&gt;"",Y26&lt;&gt;"",COUNTA(Z26:AL26)=13,AM26&lt;&gt;"",AN26&lt;&gt;"",AO26&lt;&gt;"",AP26&lt;&gt;"",AQ26&lt;&gt;"",AR26&lt;&gt;"",AS26="I_listened_at_1x_and_completed_all_required_fields",AT26&lt;&gt;"",AW26="adjudicated",OR(AY26="no",AND(AU26&lt;&gt;"",AV26&lt;&gt;""))),"complete","incomplete")</x:f>
        <x:v>incomplete</x:v>
      </x:c>
      <x:c r="BA26" s="18" t="str">
        <x:f>IF(AZ26="complete","none","faltan campos humanos, adjudicación o segunda revisión")</x:f>
        <x:v>faltan campos humanos, adjudicación o segunda revisión</x:v>
      </x:c>
    </x:row>
    <x:row r="27" ht="36" customHeight="1">
      <x:c r="A27" s="15" t="n">
        <x:v>26</x:v>
      </x:c>
      <x:c r="B27" s="15" t="str">
        <x:v>P1-LONG</x:v>
      </x:c>
      <x:c r="C27" s="15" t="str">
        <x:v>no</x:v>
      </x:c>
      <x:c r="D27" s="15" t="str">
        <x:v>asset:toefl:set-2:part-6:conversation</x:v>
      </x:c>
      <x:c r="E27" s="15" t="str">
        <x:v>set-2</x:v>
      </x:c>
      <x:c r="F27" s="15" t="str">
        <x:v>Listen to a Conversation</x:v>
      </x:c>
      <x:c r="G27" s="15" t="str">
        <x:v>/Users/josedavidduartesilva/Developer/idiomaswl/public/audio/toefl/set-2/conversation.mp3</x:v>
      </x:c>
      <x:c r="H27" s="19" t="n">
        <x:v>86.58</x:v>
      </x:c>
      <x:c r="I27" s="15" t="str">
        <x:v>P1</x:v>
      </x:c>
      <x:c r="J27" s="15" t="str">
        <x:v>100_percent_required_T08_T15</x:v>
      </x:c>
      <x:c r="K27" s="15" t="str">
        <x:v>pass_automated_T06</x:v>
      </x:c>
      <x:c r="L27" s="15" t="str">
        <x:v>none</x:v>
      </x:c>
      <x:c r="M27" s="15" t="str">
        <x:v>none</x:v>
      </x:c>
      <x:c r="N27" s="15" t="str">
        <x:v>conserve_source_technical_candidate</x:v>
      </x:c>
      <x:c r="O27" s="15" t="str">
        <x:v>source_minor_diff_supported_pending_human</x:v>
      </x:c>
      <x:c r="P27" s="15" t="str">
        <x:v>LING-DIFF-001;LING-LEN-001</x:v>
      </x:c>
      <x:c r="Q27" s="15" t="str">
        <x:v>STUDENT: Professor Diaz, could I talk to you about the group project? I'm having some difficulties with my group.
PROFESSOR: Of course. What kind of difficulties?
STUDENT: Well, there are four of us, but two members haven't done any work at all. They miss our meetings and don't respond to messages. The other student and I have basically done everything, and it doesn't feel fair that we'll all get the same grade.
PROFESSOR: I understand your frustration, and you're right to raise it. Let me ask — have you told the two members directly how you feel, in a clear but calm way?
STUDENT: Not really directly. We've sent group messages, but we haven't confronted them.
PROFESSOR: I'd suggest doing that first. Sometimes people don't realize how much they're letting the group down until it's stated plainly. Send a clear message, listing what still needs doing and asking them to take specific tasks by a specific date.
STUDENT: And if they still don't help?
PROFESSOR: Then come back to me with a record of your attempts — the messages, the meeting dates. For this project, each group also submits a short peer-evaluation form, where you rate each member's contribution. I take those seriously, and they can affect individual grades. So it won't necessarily be the case that everyone gets the same mark regardless of effort.
STUDENT: That's really reassuring. I'll send that clear message today and keep a record.</x:v>
      </x:c>
      <x:c r="R27" s="15" t="str">
        <x:v>Professor Diaz, could I talk to you about the group project? I'm having some difficulties with my group. Of course. What kind of difficulties? Well, there are four of us, but two members haven't done any work at all. They miss our meetings and don't respond to messages. The other student and I have basically done everything, and it doesn't feel fair that we'll all get the same grade. I understand your frustration and your right to raise it. Let me ask, have you told the two members directly how you feel in a clear but calm way? Not really directly. We've sent group messages, but we haven't confronted them. I'd suggest doing that first. Sometimes people don't realize how much they're letting the group down until it's stated plainly. Send a clear message, listing what still needs doing and asking them to take specific tasks by a specific date. And if they still don't help? Then come back to me with a record of your attempts, the messages, the meeting dates. For this project, each group also submits a short peer evaluation form where you rate each member's contribution. I take those seriously, and they can affect individual grades. So it won't necessarily be the case that everyone gets the same mark regardless of effort. That's really reassuring. I'll send that clear message today and keep a record.</x:v>
      </x:c>
      <x:c r="S27" s="15" t="str">
        <x:v>D:you | S:are→your</x:v>
      </x:c>
      <x:c r="T27" s="15" t="str">
        <x:v>source_contract_preserved_subject_to_T08</x:v>
      </x:c>
      <x:c r="U27" s="15" t="str">
        <x:v>C_linguistic_segment_or_reframe_candidate</x:v>
      </x:c>
      <x:c r="V27" s="16" t="str">
        <x:v>not_started</x:v>
      </x:c>
      <x:c r="W27" s="16"/>
      <x:c r="X27" s="16"/>
      <x:c r="Y27" s="16"/>
      <x:c r="Z27" s="16"/>
      <x:c r="AA27" s="16"/>
      <x:c r="AB27" s="16"/>
      <x:c r="AC27" s="16"/>
      <x:c r="AD27" s="16"/>
      <x:c r="AE27" s="16"/>
      <x:c r="AF27" s="16"/>
      <x:c r="AG27" s="16"/>
      <x:c r="AH27" s="16"/>
      <x:c r="AI27" s="16"/>
      <x:c r="AJ27" s="16"/>
      <x:c r="AK27" s="16"/>
      <x:c r="AL27" s="16"/>
      <x:c r="AM27" s="16"/>
      <x:c r="AN27" s="16"/>
      <x:c r="AO27" s="16"/>
      <x:c r="AP27" s="16"/>
      <x:c r="AQ27" s="16"/>
      <x:c r="AR27" s="16"/>
      <x:c r="AS27" s="16"/>
      <x:c r="AT27" s="20"/>
      <x:c r="AU27" s="16"/>
      <x:c r="AV27" s="16"/>
      <x:c r="AW27" s="16" t="str">
        <x:v>pending</x:v>
      </x:c>
      <x:c r="AX27" s="17" t="str">
        <x:v>blocked_not_validated</x:v>
      </x:c>
      <x:c r="AY27" s="18" t="str">
        <x:f>IF(OR(C27="yes",X27="corrected",COUNTIF(Z27:AL27,"major")&gt;0,COUNTIF(Z27:AL27,"blocker")&gt;0,OR(AO27="repair",AO27="segment",AO27="replace",AO27="block")),"yes","no")</x:f>
        <x:v>no</x:v>
      </x:c>
      <x:c r="AZ27" s="18" t="str">
        <x:f>IF(AND(V27="reviewed",W27&gt;=1,X27&lt;&gt;"",Y27&lt;&gt;"",COUNTA(Z27:AL27)=13,AM27&lt;&gt;"",AN27&lt;&gt;"",AO27&lt;&gt;"",AP27&lt;&gt;"",AQ27&lt;&gt;"",AR27&lt;&gt;"",AS27="I_listened_at_1x_and_completed_all_required_fields",AT27&lt;&gt;"",AW27="adjudicated",OR(AY27="no",AND(AU27&lt;&gt;"",AV27&lt;&gt;""))),"complete","incomplete")</x:f>
        <x:v>incomplete</x:v>
      </x:c>
      <x:c r="BA27" s="18" t="str">
        <x:f>IF(AZ27="complete","none","faltan campos humanos, adjudicación o segunda revisión")</x:f>
        <x:v>faltan campos humanos, adjudicación o segunda revisión</x:v>
      </x:c>
    </x:row>
    <x:row r="28" ht="36" customHeight="1">
      <x:c r="A28" s="15" t="n">
        <x:v>27</x:v>
      </x:c>
      <x:c r="B28" s="15" t="str">
        <x:v>P1-LONG</x:v>
      </x:c>
      <x:c r="C28" s="15" t="str">
        <x:v>no</x:v>
      </x:c>
      <x:c r="D28" s="15" t="str">
        <x:v>asset:toefl:set-2:part-7:announcement</x:v>
      </x:c>
      <x:c r="E28" s="15" t="str">
        <x:v>set-2</x:v>
      </x:c>
      <x:c r="F28" s="15" t="str">
        <x:v>Listen to an Announcement</x:v>
      </x:c>
      <x:c r="G28" s="15" t="str">
        <x:v>/Users/josedavidduartesilva/Developer/idiomaswl/public/audio/toefl/set-2/announcement.mp3</x:v>
      </x:c>
      <x:c r="H28" s="19" t="n">
        <x:v>52.18</x:v>
      </x:c>
      <x:c r="I28" s="15" t="str">
        <x:v>P1</x:v>
      </x:c>
      <x:c r="J28" s="15" t="str">
        <x:v>100_percent_required_T08_T15</x:v>
      </x:c>
      <x:c r="K28" s="15" t="str">
        <x:v>pass_automated_T06</x:v>
      </x:c>
      <x:c r="L28" s="15" t="str">
        <x:v>none</x:v>
      </x:c>
      <x:c r="M28" s="15" t="str">
        <x:v>none</x:v>
      </x:c>
      <x:c r="N28" s="15" t="str">
        <x:v>conserve_source_technical_candidate</x:v>
      </x:c>
      <x:c r="O28" s="15" t="str">
        <x:v>source_exact_normalized_supported_pending_human</x:v>
      </x:c>
      <x:c r="P28" s="15" t="str">
        <x:v>LING-LEN-001</x:v>
      </x:c>
      <x:c r="Q28" s="15" t="str">
        <x:v>Good afternoon. This is an announcement about the student art competition being held by the arts department this term. The theme this year is "Home," and we invite all students, from any department, to submit an original piece of work. It can be a painting, a photograph, a drawing, or a digital design.
Entries must be submitted to the arts office by the end of the third week of term. Please attach a short note — no more than fifty words — explaining what your piece means to you. A panel of staff and student judges will choose the winners, and the best works will be displayed in the main gallery for a month. There are prizes for the top three entries, including art supplies and gallery vouchers. You do not need to be an art student to enter — we especially encourage those who don't usually get the chance to show their creative side. Good luck, and we look forward to seeing your work.</x:v>
      </x:c>
      <x:c r="R28" s="15" t="str">
        <x:v>Good afternoon. This is an announcement about the student art competition being held by the arts department this term. The theme this year is home, and we invite all students, from any department, to submit an original piece of work. It can be a painting, a photograph, a drawing, or a digital design. Entries must be submitted to the arts office by the end of the third week of term. Please attach a short note, no more than 50 words, explaining what your piece means to you. A panel of staff and student judges will choose the winners and the best works will be displayed in the main gallery for a month. There are prizes for the top three entries, including art supplies and gallery vouchers. You do not need to be an art student to enter. We especially encourage those who don't usually get the chance to show their creative side. Good luck, and we look forward to seeing your work.</x:v>
      </x:c>
      <x:c r="S28" s="15" t="str">
        <x:v>none</x:v>
      </x:c>
      <x:c r="T28" s="15" t="str">
        <x:v>source_contract_preserved_subject_to_T08</x:v>
      </x:c>
      <x:c r="U28" s="15" t="str">
        <x:v>C_linguistic_segment_or_reframe_candidate</x:v>
      </x:c>
      <x:c r="V28" s="16" t="str">
        <x:v>not_started</x:v>
      </x:c>
      <x:c r="W28" s="16"/>
      <x:c r="X28" s="16"/>
      <x:c r="Y28" s="16"/>
      <x:c r="Z28" s="16"/>
      <x:c r="AA28" s="16"/>
      <x:c r="AB28" s="16"/>
      <x:c r="AC28" s="16"/>
      <x:c r="AD28" s="16"/>
      <x:c r="AE28" s="16"/>
      <x:c r="AF28" s="16"/>
      <x:c r="AG28" s="16"/>
      <x:c r="AH28" s="16"/>
      <x:c r="AI28" s="16"/>
      <x:c r="AJ28" s="16"/>
      <x:c r="AK28" s="16"/>
      <x:c r="AL28" s="16"/>
      <x:c r="AM28" s="16"/>
      <x:c r="AN28" s="16"/>
      <x:c r="AO28" s="16"/>
      <x:c r="AP28" s="16"/>
      <x:c r="AQ28" s="16"/>
      <x:c r="AR28" s="16"/>
      <x:c r="AS28" s="16"/>
      <x:c r="AT28" s="20"/>
      <x:c r="AU28" s="16"/>
      <x:c r="AV28" s="16"/>
      <x:c r="AW28" s="16" t="str">
        <x:v>pending</x:v>
      </x:c>
      <x:c r="AX28" s="17" t="str">
        <x:v>blocked_not_validated</x:v>
      </x:c>
      <x:c r="AY28" s="18" t="str">
        <x:f>IF(OR(C28="yes",X28="corrected",COUNTIF(Z28:AL28,"major")&gt;0,COUNTIF(Z28:AL28,"blocker")&gt;0,OR(AO28="repair",AO28="segment",AO28="replace",AO28="block")),"yes","no")</x:f>
        <x:v>no</x:v>
      </x:c>
      <x:c r="AZ28" s="18" t="str">
        <x:f>IF(AND(V28="reviewed",W28&gt;=1,X28&lt;&gt;"",Y28&lt;&gt;"",COUNTA(Z28:AL28)=13,AM28&lt;&gt;"",AN28&lt;&gt;"",AO28&lt;&gt;"",AP28&lt;&gt;"",AQ28&lt;&gt;"",AR28&lt;&gt;"",AS28="I_listened_at_1x_and_completed_all_required_fields",AT28&lt;&gt;"",AW28="adjudicated",OR(AY28="no",AND(AU28&lt;&gt;"",AV28&lt;&gt;""))),"complete","incomplete")</x:f>
        <x:v>incomplete</x:v>
      </x:c>
      <x:c r="BA28" s="18" t="str">
        <x:f>IF(AZ28="complete","none","faltan campos humanos, adjudicación o segunda revisión")</x:f>
        <x:v>faltan campos humanos, adjudicación o segunda revisión</x:v>
      </x:c>
    </x:row>
    <x:row r="29" ht="36" customHeight="1">
      <x:c r="A29" s="15" t="n">
        <x:v>28</x:v>
      </x:c>
      <x:c r="B29" s="15" t="str">
        <x:v>P1-CHOOSE</x:v>
      </x:c>
      <x:c r="C29" s="15" t="str">
        <x:v>no</x:v>
      </x:c>
      <x:c r="D29" s="15" t="str">
        <x:v>asset:toefl:set-3:part-5:listen-choose-1</x:v>
      </x:c>
      <x:c r="E29" s="15" t="str">
        <x:v>set-3</x:v>
      </x:c>
      <x:c r="F29" s="15" t="str">
        <x:v>Listen and Choose a Response</x:v>
      </x:c>
      <x:c r="G29" s="15" t="str">
        <x:v>/Users/josedavidduartesilva/Developer/idiomaswl/public/audio/toefl/set-3/listen-choose-1.mp3</x:v>
      </x:c>
      <x:c r="H29" s="19" t="n">
        <x:v>3.22</x:v>
      </x:c>
      <x:c r="I29" s="15" t="str">
        <x:v>P1</x:v>
      </x:c>
      <x:c r="J29" s="15" t="str">
        <x:v>100_percent_required_T08</x:v>
      </x:c>
      <x:c r="K29" s="15" t="str">
        <x:v>pass_automated_T06</x:v>
      </x:c>
      <x:c r="L29" s="15" t="str">
        <x:v>none</x:v>
      </x:c>
      <x:c r="M29" s="15" t="str">
        <x:v>none</x:v>
      </x:c>
      <x:c r="N29" s="15" t="str">
        <x:v>conserve_source_technical_candidate</x:v>
      </x:c>
      <x:c r="O29" s="15" t="str">
        <x:v>asr_candidate_recovered_pending_human</x:v>
      </x:c>
      <x:c r="P29" s="15" t="str">
        <x:v>LING-SOURCE-001;LING-STRESS-001</x:v>
      </x:c>
      <x:c r="Q29" s="15" t="str"/>
      <x:c r="R29" s="15" t="str">
        <x:v>Excuse me, do you know where the post office is?</x:v>
      </x:c>
      <x:c r="S29" s="15" t="str">
        <x:v>no_source_candidate</x:v>
      </x:c>
      <x:c r="T29" s="15" t="str">
        <x:v>manual_exchange_review_pass_pending_T08</x:v>
      </x:c>
      <x:c r="U29" s="15" t="str">
        <x:v>B_transcript_adjudication_candidate</x:v>
      </x:c>
      <x:c r="V29" s="16" t="str">
        <x:v>not_started</x:v>
      </x:c>
      <x:c r="W29" s="16"/>
      <x:c r="X29" s="16"/>
      <x:c r="Y29" s="16"/>
      <x:c r="Z29" s="16"/>
      <x:c r="AA29" s="16"/>
      <x:c r="AB29" s="16"/>
      <x:c r="AC29" s="16"/>
      <x:c r="AD29" s="16"/>
      <x:c r="AE29" s="16"/>
      <x:c r="AF29" s="16"/>
      <x:c r="AG29" s="16"/>
      <x:c r="AH29" s="16"/>
      <x:c r="AI29" s="16"/>
      <x:c r="AJ29" s="16"/>
      <x:c r="AK29" s="16"/>
      <x:c r="AL29" s="16"/>
      <x:c r="AM29" s="16"/>
      <x:c r="AN29" s="16"/>
      <x:c r="AO29" s="16"/>
      <x:c r="AP29" s="16"/>
      <x:c r="AQ29" s="16"/>
      <x:c r="AR29" s="16"/>
      <x:c r="AS29" s="16"/>
      <x:c r="AT29" s="20"/>
      <x:c r="AU29" s="16"/>
      <x:c r="AV29" s="16"/>
      <x:c r="AW29" s="16" t="str">
        <x:v>pending</x:v>
      </x:c>
      <x:c r="AX29" s="17" t="str">
        <x:v>blocked_not_validated</x:v>
      </x:c>
      <x:c r="AY29" s="18" t="str">
        <x:f>IF(OR(C29="yes",X29="corrected",COUNTIF(Z29:AL29,"major")&gt;0,COUNTIF(Z29:AL29,"blocker")&gt;0,OR(AO29="repair",AO29="segment",AO29="replace",AO29="block")),"yes","no")</x:f>
        <x:v>no</x:v>
      </x:c>
      <x:c r="AZ29" s="18" t="str">
        <x:f>IF(AND(V29="reviewed",W29&gt;=1,X29&lt;&gt;"",Y29&lt;&gt;"",COUNTA(Z29:AL29)=13,AM29&lt;&gt;"",AN29&lt;&gt;"",AO29&lt;&gt;"",AP29&lt;&gt;"",AQ29&lt;&gt;"",AR29&lt;&gt;"",AS29="I_listened_at_1x_and_completed_all_required_fields",AT29&lt;&gt;"",AW29="adjudicated",OR(AY29="no",AND(AU29&lt;&gt;"",AV29&lt;&gt;""))),"complete","incomplete")</x:f>
        <x:v>incomplete</x:v>
      </x:c>
      <x:c r="BA29" s="18" t="str">
        <x:f>IF(AZ29="complete","none","faltan campos humanos, adjudicación o segunda revisión")</x:f>
        <x:v>faltan campos humanos, adjudicación o segunda revisión</x:v>
      </x:c>
    </x:row>
    <x:row r="30" ht="36" customHeight="1">
      <x:c r="A30" s="15" t="n">
        <x:v>29</x:v>
      </x:c>
      <x:c r="B30" s="15" t="str">
        <x:v>P1-CHOOSE</x:v>
      </x:c>
      <x:c r="C30" s="15" t="str">
        <x:v>no</x:v>
      </x:c>
      <x:c r="D30" s="15" t="str">
        <x:v>asset:toefl:set-3:part-5:listen-choose-2</x:v>
      </x:c>
      <x:c r="E30" s="15" t="str">
        <x:v>set-3</x:v>
      </x:c>
      <x:c r="F30" s="15" t="str">
        <x:v>Listen and Choose a Response</x:v>
      </x:c>
      <x:c r="G30" s="15" t="str">
        <x:v>/Users/josedavidduartesilva/Developer/idiomaswl/public/audio/toefl/set-3/listen-choose-2.mp3</x:v>
      </x:c>
      <x:c r="H30" s="19" t="n">
        <x:v>4.1</x:v>
      </x:c>
      <x:c r="I30" s="15" t="str">
        <x:v>P1</x:v>
      </x:c>
      <x:c r="J30" s="15" t="str">
        <x:v>100_percent_required_T08</x:v>
      </x:c>
      <x:c r="K30" s="15" t="str">
        <x:v>pass_automated_T06</x:v>
      </x:c>
      <x:c r="L30" s="15" t="str">
        <x:v>none</x:v>
      </x:c>
      <x:c r="M30" s="15" t="str">
        <x:v>none</x:v>
      </x:c>
      <x:c r="N30" s="15" t="str">
        <x:v>conserve_source_technical_candidate</x:v>
      </x:c>
      <x:c r="O30" s="15" t="str">
        <x:v>asr_candidate_recovered_pending_human</x:v>
      </x:c>
      <x:c r="P30" s="15" t="str">
        <x:v>LING-SOURCE-001;LING-STRESS-001</x:v>
      </x:c>
      <x:c r="Q30" s="15" t="str"/>
      <x:c r="R30" s="15" t="str">
        <x:v>I'm going to be away tomorrow. Could you save me a copy of the handout?</x:v>
      </x:c>
      <x:c r="S30" s="15" t="str">
        <x:v>no_source_candidate</x:v>
      </x:c>
      <x:c r="T30" s="15" t="str">
        <x:v>manual_exchange_review_pass_pending_T08</x:v>
      </x:c>
      <x:c r="U30" s="15" t="str">
        <x:v>B_transcript_adjudication_candidate</x:v>
      </x:c>
      <x:c r="V30" s="16" t="str">
        <x:v>not_started</x:v>
      </x:c>
      <x:c r="W30" s="16"/>
      <x:c r="X30" s="16"/>
      <x:c r="Y30" s="16"/>
      <x:c r="Z30" s="16"/>
      <x:c r="AA30" s="16"/>
      <x:c r="AB30" s="16"/>
      <x:c r="AC30" s="16"/>
      <x:c r="AD30" s="16"/>
      <x:c r="AE30" s="16"/>
      <x:c r="AF30" s="16"/>
      <x:c r="AG30" s="16"/>
      <x:c r="AH30" s="16"/>
      <x:c r="AI30" s="16"/>
      <x:c r="AJ30" s="16"/>
      <x:c r="AK30" s="16"/>
      <x:c r="AL30" s="16"/>
      <x:c r="AM30" s="16"/>
      <x:c r="AN30" s="16"/>
      <x:c r="AO30" s="16"/>
      <x:c r="AP30" s="16"/>
      <x:c r="AQ30" s="16"/>
      <x:c r="AR30" s="16"/>
      <x:c r="AS30" s="16"/>
      <x:c r="AT30" s="20"/>
      <x:c r="AU30" s="16"/>
      <x:c r="AV30" s="16"/>
      <x:c r="AW30" s="16" t="str">
        <x:v>pending</x:v>
      </x:c>
      <x:c r="AX30" s="17" t="str">
        <x:v>blocked_not_validated</x:v>
      </x:c>
      <x:c r="AY30" s="18" t="str">
        <x:f>IF(OR(C30="yes",X30="corrected",COUNTIF(Z30:AL30,"major")&gt;0,COUNTIF(Z30:AL30,"blocker")&gt;0,OR(AO30="repair",AO30="segment",AO30="replace",AO30="block")),"yes","no")</x:f>
        <x:v>no</x:v>
      </x:c>
      <x:c r="AZ30" s="18" t="str">
        <x:f>IF(AND(V30="reviewed",W30&gt;=1,X30&lt;&gt;"",Y30&lt;&gt;"",COUNTA(Z30:AL30)=13,AM30&lt;&gt;"",AN30&lt;&gt;"",AO30&lt;&gt;"",AP30&lt;&gt;"",AQ30&lt;&gt;"",AR30&lt;&gt;"",AS30="I_listened_at_1x_and_completed_all_required_fields",AT30&lt;&gt;"",AW30="adjudicated",OR(AY30="no",AND(AU30&lt;&gt;"",AV30&lt;&gt;""))),"complete","incomplete")</x:f>
        <x:v>incomplete</x:v>
      </x:c>
      <x:c r="BA30" s="18" t="str">
        <x:f>IF(AZ30="complete","none","faltan campos humanos, adjudicación o segunda revisión")</x:f>
        <x:v>faltan campos humanos, adjudicación o segunda revisión</x:v>
      </x:c>
    </x:row>
    <x:row r="31" ht="36" customHeight="1">
      <x:c r="A31" s="15" t="n">
        <x:v>30</x:v>
      </x:c>
      <x:c r="B31" s="15" t="str">
        <x:v>P1-CHOOSE</x:v>
      </x:c>
      <x:c r="C31" s="15" t="str">
        <x:v>no</x:v>
      </x:c>
      <x:c r="D31" s="15" t="str">
        <x:v>asset:toefl:set-3:part-5:listen-choose-3</x:v>
      </x:c>
      <x:c r="E31" s="15" t="str">
        <x:v>set-3</x:v>
      </x:c>
      <x:c r="F31" s="15" t="str">
        <x:v>Listen and Choose a Response</x:v>
      </x:c>
      <x:c r="G31" s="15" t="str">
        <x:v>/Users/josedavidduartesilva/Developer/idiomaswl/public/audio/toefl/set-3/listen-choose-3.mp3</x:v>
      </x:c>
      <x:c r="H31" s="19" t="n">
        <x:v>2.98</x:v>
      </x:c>
      <x:c r="I31" s="15" t="str">
        <x:v>P1</x:v>
      </x:c>
      <x:c r="J31" s="15" t="str">
        <x:v>100_percent_required_T08</x:v>
      </x:c>
      <x:c r="K31" s="15" t="str">
        <x:v>pass_automated_T06</x:v>
      </x:c>
      <x:c r="L31" s="15" t="str">
        <x:v>none</x:v>
      </x:c>
      <x:c r="M31" s="15" t="str">
        <x:v>none</x:v>
      </x:c>
      <x:c r="N31" s="15" t="str">
        <x:v>conserve_source_technical_candidate</x:v>
      </x:c>
      <x:c r="O31" s="15" t="str">
        <x:v>asr_candidate_recovered_pending_human</x:v>
      </x:c>
      <x:c r="P31" s="15" t="str">
        <x:v>LING-SOURCE-001;LING-STRESS-001</x:v>
      </x:c>
      <x:c r="Q31" s="15" t="str"/>
      <x:c r="R31" s="15" t="str">
        <x:v>Where can I find out what time the buses run?</x:v>
      </x:c>
      <x:c r="S31" s="15" t="str">
        <x:v>no_source_candidate</x:v>
      </x:c>
      <x:c r="T31" s="15" t="str">
        <x:v>manual_exchange_review_pass_pending_T08</x:v>
      </x:c>
      <x:c r="U31" s="15" t="str">
        <x:v>B_transcript_adjudication_candidate</x:v>
      </x:c>
      <x:c r="V31" s="16" t="str">
        <x:v>not_started</x:v>
      </x:c>
      <x:c r="W31" s="16"/>
      <x:c r="X31" s="16"/>
      <x:c r="Y31" s="16"/>
      <x:c r="Z31" s="16"/>
      <x:c r="AA31" s="16"/>
      <x:c r="AB31" s="16"/>
      <x:c r="AC31" s="16"/>
      <x:c r="AD31" s="16"/>
      <x:c r="AE31" s="16"/>
      <x:c r="AF31" s="16"/>
      <x:c r="AG31" s="16"/>
      <x:c r="AH31" s="16"/>
      <x:c r="AI31" s="16"/>
      <x:c r="AJ31" s="16"/>
      <x:c r="AK31" s="16"/>
      <x:c r="AL31" s="16"/>
      <x:c r="AM31" s="16"/>
      <x:c r="AN31" s="16"/>
      <x:c r="AO31" s="16"/>
      <x:c r="AP31" s="16"/>
      <x:c r="AQ31" s="16"/>
      <x:c r="AR31" s="16"/>
      <x:c r="AS31" s="16"/>
      <x:c r="AT31" s="20"/>
      <x:c r="AU31" s="16"/>
      <x:c r="AV31" s="16"/>
      <x:c r="AW31" s="16" t="str">
        <x:v>pending</x:v>
      </x:c>
      <x:c r="AX31" s="17" t="str">
        <x:v>blocked_not_validated</x:v>
      </x:c>
      <x:c r="AY31" s="18" t="str">
        <x:f>IF(OR(C31="yes",X31="corrected",COUNTIF(Z31:AL31,"major")&gt;0,COUNTIF(Z31:AL31,"blocker")&gt;0,OR(AO31="repair",AO31="segment",AO31="replace",AO31="block")),"yes","no")</x:f>
        <x:v>no</x:v>
      </x:c>
      <x:c r="AZ31" s="18" t="str">
        <x:f>IF(AND(V31="reviewed",W31&gt;=1,X31&lt;&gt;"",Y31&lt;&gt;"",COUNTA(Z31:AL31)=13,AM31&lt;&gt;"",AN31&lt;&gt;"",AO31&lt;&gt;"",AP31&lt;&gt;"",AQ31&lt;&gt;"",AR31&lt;&gt;"",AS31="I_listened_at_1x_and_completed_all_required_fields",AT31&lt;&gt;"",AW31="adjudicated",OR(AY31="no",AND(AU31&lt;&gt;"",AV31&lt;&gt;""))),"complete","incomplete")</x:f>
        <x:v>incomplete</x:v>
      </x:c>
      <x:c r="BA31" s="18" t="str">
        <x:f>IF(AZ31="complete","none","faltan campos humanos, adjudicación o segunda revisión")</x:f>
        <x:v>faltan campos humanos, adjudicación o segunda revisión</x:v>
      </x:c>
    </x:row>
    <x:row r="32" ht="36" customHeight="1">
      <x:c r="A32" s="15" t="n">
        <x:v>31</x:v>
      </x:c>
      <x:c r="B32" s="15" t="str">
        <x:v>P1-CHOOSE</x:v>
      </x:c>
      <x:c r="C32" s="15" t="str">
        <x:v>no</x:v>
      </x:c>
      <x:c r="D32" s="15" t="str">
        <x:v>asset:toefl:set-3:part-5:listen-choose-4</x:v>
      </x:c>
      <x:c r="E32" s="15" t="str">
        <x:v>set-3</x:v>
      </x:c>
      <x:c r="F32" s="15" t="str">
        <x:v>Listen and Choose a Response</x:v>
      </x:c>
      <x:c r="G32" s="15" t="str">
        <x:v>/Users/josedavidduartesilva/Developer/idiomaswl/public/audio/toefl/set-3/listen-choose-4.mp3</x:v>
      </x:c>
      <x:c r="H32" s="19" t="n">
        <x:v>3.62</x:v>
      </x:c>
      <x:c r="I32" s="15" t="str">
        <x:v>P1</x:v>
      </x:c>
      <x:c r="J32" s="15" t="str">
        <x:v>100_percent_required_T08</x:v>
      </x:c>
      <x:c r="K32" s="15" t="str">
        <x:v>fail_actionable</x:v>
      </x:c>
      <x:c r="L32" s="15" t="str">
        <x:v>TECH-LDN-002</x:v>
      </x:c>
      <x:c r="M32" s="15" t="str">
        <x:v>TECH-PEAK-003</x:v>
      </x:c>
      <x:c r="N32" s="15" t="str">
        <x:v>measure_gain_create_versioned_normalized_variant</x:v>
      </x:c>
      <x:c r="O32" s="15" t="str">
        <x:v>asr_candidate_recovered_pending_human</x:v>
      </x:c>
      <x:c r="P32" s="15" t="str">
        <x:v>LING-SOURCE-001;TECH-T06-FAIL;LING-STRESS-001</x:v>
      </x:c>
      <x:c r="Q32" s="15" t="str"/>
      <x:c r="R32" s="15" t="str">
        <x:v>I forgot my textbook. Can I borrow yours for today?</x:v>
      </x:c>
      <x:c r="S32" s="15" t="str">
        <x:v>no_source_candidate</x:v>
      </x:c>
      <x:c r="T32" s="15" t="str">
        <x:v>manual_exchange_review_pass_pending_T08</x:v>
      </x:c>
      <x:c r="U32" s="15" t="str">
        <x:v>B_transcript_adjudication_candidate</x:v>
      </x:c>
      <x:c r="V32" s="16" t="str">
        <x:v>not_started</x:v>
      </x:c>
      <x:c r="W32" s="16"/>
      <x:c r="X32" s="16"/>
      <x:c r="Y32" s="16"/>
      <x:c r="Z32" s="16"/>
      <x:c r="AA32" s="16"/>
      <x:c r="AB32" s="16"/>
      <x:c r="AC32" s="16"/>
      <x:c r="AD32" s="16"/>
      <x:c r="AE32" s="16"/>
      <x:c r="AF32" s="16"/>
      <x:c r="AG32" s="16"/>
      <x:c r="AH32" s="16"/>
      <x:c r="AI32" s="16"/>
      <x:c r="AJ32" s="16"/>
      <x:c r="AK32" s="16"/>
      <x:c r="AL32" s="16"/>
      <x:c r="AM32" s="16"/>
      <x:c r="AN32" s="16"/>
      <x:c r="AO32" s="16"/>
      <x:c r="AP32" s="16"/>
      <x:c r="AQ32" s="16"/>
      <x:c r="AR32" s="16"/>
      <x:c r="AS32" s="16"/>
      <x:c r="AT32" s="20"/>
      <x:c r="AU32" s="16"/>
      <x:c r="AV32" s="16"/>
      <x:c r="AW32" s="16" t="str">
        <x:v>pending</x:v>
      </x:c>
      <x:c r="AX32" s="17" t="str">
        <x:v>blocked_not_validated</x:v>
      </x:c>
      <x:c r="AY32" s="18" t="str">
        <x:f>IF(OR(C32="yes",X32="corrected",COUNTIF(Z32:AL32,"major")&gt;0,COUNTIF(Z32:AL32,"blocker")&gt;0,OR(AO32="repair",AO32="segment",AO32="replace",AO32="block")),"yes","no")</x:f>
        <x:v>no</x:v>
      </x:c>
      <x:c r="AZ32" s="18" t="str">
        <x:f>IF(AND(V32="reviewed",W32&gt;=1,X32&lt;&gt;"",Y32&lt;&gt;"",COUNTA(Z32:AL32)=13,AM32&lt;&gt;"",AN32&lt;&gt;"",AO32&lt;&gt;"",AP32&lt;&gt;"",AQ32&lt;&gt;"",AR32&lt;&gt;"",AS32="I_listened_at_1x_and_completed_all_required_fields",AT32&lt;&gt;"",AW32="adjudicated",OR(AY32="no",AND(AU32&lt;&gt;"",AV32&lt;&gt;""))),"complete","incomplete")</x:f>
        <x:v>incomplete</x:v>
      </x:c>
      <x:c r="BA32" s="18" t="str">
        <x:f>IF(AZ32="complete","none","faltan campos humanos, adjudicación o segunda revisión")</x:f>
        <x:v>faltan campos humanos, adjudicación o segunda revisión</x:v>
      </x:c>
    </x:row>
    <x:row r="33" ht="36" customHeight="1">
      <x:c r="A33" s="15" t="n">
        <x:v>32</x:v>
      </x:c>
      <x:c r="B33" s="15" t="str">
        <x:v>P1-CHOOSE</x:v>
      </x:c>
      <x:c r="C33" s="15" t="str">
        <x:v>no</x:v>
      </x:c>
      <x:c r="D33" s="15" t="str">
        <x:v>asset:toefl:set-3:part-5:listen-choose-5</x:v>
      </x:c>
      <x:c r="E33" s="15" t="str">
        <x:v>set-3</x:v>
      </x:c>
      <x:c r="F33" s="15" t="str">
        <x:v>Listen and Choose a Response</x:v>
      </x:c>
      <x:c r="G33" s="15" t="str">
        <x:v>/Users/josedavidduartesilva/Developer/idiomaswl/public/audio/toefl/set-3/listen-choose-5.mp3</x:v>
      </x:c>
      <x:c r="H33" s="19" t="n">
        <x:v>3.14</x:v>
      </x:c>
      <x:c r="I33" s="15" t="str">
        <x:v>P1</x:v>
      </x:c>
      <x:c r="J33" s="15" t="str">
        <x:v>100_percent_required_T08</x:v>
      </x:c>
      <x:c r="K33" s="15" t="str">
        <x:v>pass_automated_T06</x:v>
      </x:c>
      <x:c r="L33" s="15" t="str">
        <x:v>none</x:v>
      </x:c>
      <x:c r="M33" s="15" t="str">
        <x:v>none</x:v>
      </x:c>
      <x:c r="N33" s="15" t="str">
        <x:v>conserve_source_technical_candidate</x:v>
      </x:c>
      <x:c r="O33" s="15" t="str">
        <x:v>asr_candidate_recovered_pending_human</x:v>
      </x:c>
      <x:c r="P33" s="15" t="str">
        <x:v>LING-SOURCE-001;LING-STRESS-001;LING-DUP-001</x:v>
      </x:c>
      <x:c r="Q33" s="15" t="str"/>
      <x:c r="R33" s="15" t="str">
        <x:v>You look really happy. Did something good happen?</x:v>
      </x:c>
      <x:c r="S33" s="15" t="str">
        <x:v>no_source_candidate</x:v>
      </x:c>
      <x:c r="T33" s="15" t="str">
        <x:v>manual_exchange_review_pass_pending_T08</x:v>
      </x:c>
      <x:c r="U33" s="15" t="str">
        <x:v>B_transcript_adjudication_candidate</x:v>
      </x:c>
      <x:c r="V33" s="16" t="str">
        <x:v>not_started</x:v>
      </x:c>
      <x:c r="W33" s="16"/>
      <x:c r="X33" s="16"/>
      <x:c r="Y33" s="16"/>
      <x:c r="Z33" s="16"/>
      <x:c r="AA33" s="16"/>
      <x:c r="AB33" s="16"/>
      <x:c r="AC33" s="16"/>
      <x:c r="AD33" s="16"/>
      <x:c r="AE33" s="16"/>
      <x:c r="AF33" s="16"/>
      <x:c r="AG33" s="16"/>
      <x:c r="AH33" s="16"/>
      <x:c r="AI33" s="16"/>
      <x:c r="AJ33" s="16"/>
      <x:c r="AK33" s="16"/>
      <x:c r="AL33" s="16"/>
      <x:c r="AM33" s="16"/>
      <x:c r="AN33" s="16"/>
      <x:c r="AO33" s="16"/>
      <x:c r="AP33" s="16"/>
      <x:c r="AQ33" s="16"/>
      <x:c r="AR33" s="16"/>
      <x:c r="AS33" s="16"/>
      <x:c r="AT33" s="20"/>
      <x:c r="AU33" s="16"/>
      <x:c r="AV33" s="16"/>
      <x:c r="AW33" s="16" t="str">
        <x:v>pending</x:v>
      </x:c>
      <x:c r="AX33" s="17" t="str">
        <x:v>blocked_not_validated</x:v>
      </x:c>
      <x:c r="AY33" s="18" t="str">
        <x:f>IF(OR(C33="yes",X33="corrected",COUNTIF(Z33:AL33,"major")&gt;0,COUNTIF(Z33:AL33,"blocker")&gt;0,OR(AO33="repair",AO33="segment",AO33="replace",AO33="block")),"yes","no")</x:f>
        <x:v>no</x:v>
      </x:c>
      <x:c r="AZ33" s="18" t="str">
        <x:f>IF(AND(V33="reviewed",W33&gt;=1,X33&lt;&gt;"",Y33&lt;&gt;"",COUNTA(Z33:AL33)=13,AM33&lt;&gt;"",AN33&lt;&gt;"",AO33&lt;&gt;"",AP33&lt;&gt;"",AQ33&lt;&gt;"",AR33&lt;&gt;"",AS33="I_listened_at_1x_and_completed_all_required_fields",AT33&lt;&gt;"",AW33="adjudicated",OR(AY33="no",AND(AU33&lt;&gt;"",AV33&lt;&gt;""))),"complete","incomplete")</x:f>
        <x:v>incomplete</x:v>
      </x:c>
      <x:c r="BA33" s="18" t="str">
        <x:f>IF(AZ33="complete","none","faltan campos humanos, adjudicación o segunda revisión")</x:f>
        <x:v>faltan campos humanos, adjudicación o segunda revisión</x:v>
      </x:c>
    </x:row>
    <x:row r="34" ht="36" customHeight="1">
      <x:c r="A34" s="15" t="n">
        <x:v>33</x:v>
      </x:c>
      <x:c r="B34" s="15" t="str">
        <x:v>P1-LONG</x:v>
      </x:c>
      <x:c r="C34" s="15" t="str">
        <x:v>no</x:v>
      </x:c>
      <x:c r="D34" s="15" t="str">
        <x:v>asset:toefl:set-3:part-6:conversation</x:v>
      </x:c>
      <x:c r="E34" s="15" t="str">
        <x:v>set-3</x:v>
      </x:c>
      <x:c r="F34" s="15" t="str">
        <x:v>Listen to a Conversation</x:v>
      </x:c>
      <x:c r="G34" s="15" t="str">
        <x:v>/Users/josedavidduartesilva/Developer/idiomaswl/public/audio/toefl/set-3/conversation.mp3</x:v>
      </x:c>
      <x:c r="H34" s="19" t="n">
        <x:v>74.74</x:v>
      </x:c>
      <x:c r="I34" s="15" t="str">
        <x:v>P1</x:v>
      </x:c>
      <x:c r="J34" s="15" t="str">
        <x:v>100_percent_required_T08_T15</x:v>
      </x:c>
      <x:c r="K34" s="15" t="str">
        <x:v>pass_with_actionable_warning</x:v>
      </x:c>
      <x:c r="L34" s="15" t="str">
        <x:v>none</x:v>
      </x:c>
      <x:c r="M34" s="15" t="str">
        <x:v>TECH-PEAK-003</x:v>
      </x:c>
      <x:c r="N34" s="15" t="str">
        <x:v>review_warning_in_T08_before_conserve</x:v>
      </x:c>
      <x:c r="O34" s="15" t="str">
        <x:v>source_exact_normalized_supported_pending_human</x:v>
      </x:c>
      <x:c r="P34" s="15" t="str">
        <x:v>LING-LEN-001</x:v>
      </x:c>
      <x:c r="Q34" s="15" t="str">
        <x:v>WOMAN: Are you going to apply for the summer research assistant position in the chemistry department?
MAN: I saw it, but I'm not sure I'm qualified. It says they want someone with lab experience, and I've only done the standard course labs.
WOMAN: Honestly, I think you should apply anyway. "Preferred experience" isn't the same as "required." And you did really well in organic chemistry last year — that counts for a lot.
MAN: That's true. But there are probably lots of applicants who are further along than me.
WOMAN: Maybe, but you won't know unless you try. The worst that happens is they say no, and you're no worse off than you are now. Besides, even writing the application is good practice, and it puts you on the professor's radar for next year.
MAN: I hadn't thought of it that way. What do you think they're really looking for?
WOMAN: From what I've heard, they care more about enthusiasm and reliability than about how much you already know. They'll train you on the specific techniques. So in your application, I'd focus on why you're genuinely interested and give examples of being careful and dependable.
MAN: That's really helpful. Okay, I'll apply. Would you mind reading my application before I submit it?
WOMAN: Of course. Send it over when it's ready and I'll give you some feedback.</x:v>
      </x:c>
      <x:c r="R34" s="15" t="str">
        <x:v>Are you going to apply for the summer research assistant position in the chemistry department? I saw it, but I'm not sure I'm qualified. It says they want someone with lab experience, and I've only done the standard course labs. Honestly, I think you should apply anyway. Preferred experience isn't the same as required, and you did really well in organic chemistry last year. That counts for a lot. That's true, but there are probably lots of applicants who are further along than me. Maybe, but you won't know unless you try. The worst that happens is they say no, and you're no worse off than you are now. Besides, even writing the application is good practice, and it puts you on the professor's radar for next year. I hadn't thought of it that way. What do you think they're really looking for? From what I've heard, they care more about enthusiasm and reliability than about how much you already know. They'll train you on the specific techniques. So in your application, I'd focus on why you're genuinely interested and give examples of being careful and dependable. That's really helpful. Okay, I'll apply. Would you mind reading my application before I submit it? Of course, send it over when it's ready and I'll give you some feedback.</x:v>
      </x:c>
      <x:c r="S34" s="15" t="str">
        <x:v>none</x:v>
      </x:c>
      <x:c r="T34" s="15" t="str">
        <x:v>source_contract_preserved_subject_to_T08</x:v>
      </x:c>
      <x:c r="U34" s="15" t="str">
        <x:v>C_linguistic_segment_or_reframe_candidate</x:v>
      </x:c>
      <x:c r="V34" s="16" t="str">
        <x:v>not_started</x:v>
      </x:c>
      <x:c r="W34" s="16"/>
      <x:c r="X34" s="16"/>
      <x:c r="Y34" s="16"/>
      <x:c r="Z34" s="16"/>
      <x:c r="AA34" s="16"/>
      <x:c r="AB34" s="16"/>
      <x:c r="AC34" s="16"/>
      <x:c r="AD34" s="16"/>
      <x:c r="AE34" s="16"/>
      <x:c r="AF34" s="16"/>
      <x:c r="AG34" s="16"/>
      <x:c r="AH34" s="16"/>
      <x:c r="AI34" s="16"/>
      <x:c r="AJ34" s="16"/>
      <x:c r="AK34" s="16"/>
      <x:c r="AL34" s="16"/>
      <x:c r="AM34" s="16"/>
      <x:c r="AN34" s="16"/>
      <x:c r="AO34" s="16"/>
      <x:c r="AP34" s="16"/>
      <x:c r="AQ34" s="16"/>
      <x:c r="AR34" s="16"/>
      <x:c r="AS34" s="16"/>
      <x:c r="AT34" s="20"/>
      <x:c r="AU34" s="16"/>
      <x:c r="AV34" s="16"/>
      <x:c r="AW34" s="16" t="str">
        <x:v>pending</x:v>
      </x:c>
      <x:c r="AX34" s="17" t="str">
        <x:v>blocked_not_validated</x:v>
      </x:c>
      <x:c r="AY34" s="18" t="str">
        <x:f>IF(OR(C34="yes",X34="corrected",COUNTIF(Z34:AL34,"major")&gt;0,COUNTIF(Z34:AL34,"blocker")&gt;0,OR(AO34="repair",AO34="segment",AO34="replace",AO34="block")),"yes","no")</x:f>
        <x:v>no</x:v>
      </x:c>
      <x:c r="AZ34" s="18" t="str">
        <x:f>IF(AND(V34="reviewed",W34&gt;=1,X34&lt;&gt;"",Y34&lt;&gt;"",COUNTA(Z34:AL34)=13,AM34&lt;&gt;"",AN34&lt;&gt;"",AO34&lt;&gt;"",AP34&lt;&gt;"",AQ34&lt;&gt;"",AR34&lt;&gt;"",AS34="I_listened_at_1x_and_completed_all_required_fields",AT34&lt;&gt;"",AW34="adjudicated",OR(AY34="no",AND(AU34&lt;&gt;"",AV34&lt;&gt;""))),"complete","incomplete")</x:f>
        <x:v>incomplete</x:v>
      </x:c>
      <x:c r="BA34" s="18" t="str">
        <x:f>IF(AZ34="complete","none","faltan campos humanos, adjudicación o segunda revisión")</x:f>
        <x:v>faltan campos humanos, adjudicación o segunda revisión</x:v>
      </x:c>
    </x:row>
    <x:row r="35" ht="36" customHeight="1">
      <x:c r="A35" s="15" t="n">
        <x:v>34</x:v>
      </x:c>
      <x:c r="B35" s="15" t="str">
        <x:v>P1-LONG</x:v>
      </x:c>
      <x:c r="C35" s="15" t="str">
        <x:v>no</x:v>
      </x:c>
      <x:c r="D35" s="15" t="str">
        <x:v>asset:toefl:set-3:part-7:announcement</x:v>
      </x:c>
      <x:c r="E35" s="15" t="str">
        <x:v>set-3</x:v>
      </x:c>
      <x:c r="F35" s="15" t="str">
        <x:v>Listen to an Announcement</x:v>
      </x:c>
      <x:c r="G35" s="15" t="str">
        <x:v>/Users/josedavidduartesilva/Developer/idiomaswl/public/audio/toefl/set-3/announcement.mp3</x:v>
      </x:c>
      <x:c r="H35" s="19" t="n">
        <x:v>55.54</x:v>
      </x:c>
      <x:c r="I35" s="15" t="str">
        <x:v>P1</x:v>
      </x:c>
      <x:c r="J35" s="15" t="str">
        <x:v>100_percent_required_T08_T15</x:v>
      </x:c>
      <x:c r="K35" s="15" t="str">
        <x:v>pass_automated_T06</x:v>
      </x:c>
      <x:c r="L35" s="15" t="str">
        <x:v>none</x:v>
      </x:c>
      <x:c r="M35" s="15" t="str">
        <x:v>none</x:v>
      </x:c>
      <x:c r="N35" s="15" t="str">
        <x:v>conserve_source_technical_candidate</x:v>
      </x:c>
      <x:c r="O35" s="15" t="str">
        <x:v>source_exact_normalized_supported_pending_human</x:v>
      </x:c>
      <x:c r="P35" s="15" t="str">
        <x:v>LING-LEN-001</x:v>
      </x:c>
      <x:c r="Q35" s="15" t="str">
        <x:v>Attention, please. This is an announcement for all users of the university computer labs. Over the next two weeks, we will be upgrading the software on all lab computers to the latest versions, which will improve performance and security. The upgrades will happen overnight, so the labs will be fully available during the day as usual.
However, there are two things to be aware of. First, please save all your work to your personal cloud storage or a USB drive before leaving each day. Any files saved directly on the lab computers may be deleted during the upgrade, and we cannot recover them. Second, some specialized programs used in engineering and design courses will look slightly different after the update, though they will work the same way. Short guides to the new versions will be posted next to each workstation. If you have any problems, the IT help desk on the ground floor is open from nine to five. Thank you for your cooperation.</x:v>
      </x:c>
      <x:c r="R35" s="15" t="str">
        <x:v>Attention, please, this is an announcement for all users of the university computer labs. Over the next two weeks, we will be upgrading the software on all lab computers to the latest versions, which will improve performance and security. The upgrades will happen overnight, so the labs will be fully available during the day as usual. However, there are two things to be aware of. First, please save all your work to your personal cloud storage or a USB drive before leaving each day. Any files saved directly on the lab computers may be deleted during the upgrade and we cannot recover them. Second, some specialized programs used in engineering and design courses will look slightly different after the update, though they will work the same way. Short guides to the new versions will be posted next to each workstation. If you have any problems, the IT help desk on the ground floor is open from 9 to 5. Thank you for your cooperation.</x:v>
      </x:c>
      <x:c r="S35" s="15" t="str">
        <x:v>none</x:v>
      </x:c>
      <x:c r="T35" s="15" t="str">
        <x:v>source_contract_preserved_subject_to_T08</x:v>
      </x:c>
      <x:c r="U35" s="15" t="str">
        <x:v>C_linguistic_segment_or_reframe_candidate</x:v>
      </x:c>
      <x:c r="V35" s="16" t="str">
        <x:v>not_started</x:v>
      </x:c>
      <x:c r="W35" s="16"/>
      <x:c r="X35" s="16"/>
      <x:c r="Y35" s="16"/>
      <x:c r="Z35" s="16"/>
      <x:c r="AA35" s="16"/>
      <x:c r="AB35" s="16"/>
      <x:c r="AC35" s="16"/>
      <x:c r="AD35" s="16"/>
      <x:c r="AE35" s="16"/>
      <x:c r="AF35" s="16"/>
      <x:c r="AG35" s="16"/>
      <x:c r="AH35" s="16"/>
      <x:c r="AI35" s="16"/>
      <x:c r="AJ35" s="16"/>
      <x:c r="AK35" s="16"/>
      <x:c r="AL35" s="16"/>
      <x:c r="AM35" s="16"/>
      <x:c r="AN35" s="16"/>
      <x:c r="AO35" s="16"/>
      <x:c r="AP35" s="16"/>
      <x:c r="AQ35" s="16"/>
      <x:c r="AR35" s="16"/>
      <x:c r="AS35" s="16"/>
      <x:c r="AT35" s="20"/>
      <x:c r="AU35" s="16"/>
      <x:c r="AV35" s="16"/>
      <x:c r="AW35" s="16" t="str">
        <x:v>pending</x:v>
      </x:c>
      <x:c r="AX35" s="17" t="str">
        <x:v>blocked_not_validated</x:v>
      </x:c>
      <x:c r="AY35" s="18" t="str">
        <x:f>IF(OR(C35="yes",X35="corrected",COUNTIF(Z35:AL35,"major")&gt;0,COUNTIF(Z35:AL35,"blocker")&gt;0,OR(AO35="repair",AO35="segment",AO35="replace",AO35="block")),"yes","no")</x:f>
        <x:v>no</x:v>
      </x:c>
      <x:c r="AZ35" s="18" t="str">
        <x:f>IF(AND(V35="reviewed",W35&gt;=1,X35&lt;&gt;"",Y35&lt;&gt;"",COUNTA(Z35:AL35)=13,AM35&lt;&gt;"",AN35&lt;&gt;"",AO35&lt;&gt;"",AP35&lt;&gt;"",AQ35&lt;&gt;"",AR35&lt;&gt;"",AS35="I_listened_at_1x_and_completed_all_required_fields",AT35&lt;&gt;"",AW35="adjudicated",OR(AY35="no",AND(AU35&lt;&gt;"",AV35&lt;&gt;""))),"complete","incomplete")</x:f>
        <x:v>incomplete</x:v>
      </x:c>
      <x:c r="BA35" s="18" t="str">
        <x:f>IF(AZ35="complete","none","faltan campos humanos, adjudicación o segunda revisión")</x:f>
        <x:v>faltan campos humanos, adjudicación o segunda revisión</x:v>
      </x:c>
    </x:row>
    <x:row r="36" ht="36" customHeight="1">
      <x:c r="A36" s="15" t="n">
        <x:v>35</x:v>
      </x:c>
      <x:c r="B36" s="15" t="str">
        <x:v>P1-LONG</x:v>
      </x:c>
      <x:c r="C36" s="15" t="str">
        <x:v>no</x:v>
      </x:c>
      <x:c r="D36" s="15" t="str">
        <x:v>asset:toefl:set-3:part-8:academic-talk</x:v>
      </x:c>
      <x:c r="E36" s="15" t="str">
        <x:v>set-3</x:v>
      </x:c>
      <x:c r="F36" s="15" t="str">
        <x:v>Listen to an Academic Talk</x:v>
      </x:c>
      <x:c r="G36" s="15" t="str">
        <x:v>/Users/josedavidduartesilva/Developer/idiomaswl/public/audio/toefl/set-3/academic-talk.mp3</x:v>
      </x:c>
      <x:c r="H36" s="19" t="n">
        <x:v>126.82</x:v>
      </x:c>
      <x:c r="I36" s="15" t="str">
        <x:v>P1</x:v>
      </x:c>
      <x:c r="J36" s="15" t="str">
        <x:v>100_percent_required_T08_T15</x:v>
      </x:c>
      <x:c r="K36" s="15" t="str">
        <x:v>fail_actionable</x:v>
      </x:c>
      <x:c r="L36" s="15" t="str">
        <x:v>TECH-LDN-002</x:v>
      </x:c>
      <x:c r="M36" s="15" t="str">
        <x:v>TECH-PEAK-003</x:v>
      </x:c>
      <x:c r="N36" s="15" t="str">
        <x:v>measure_gain_create_versioned_normalized_variant</x:v>
      </x:c>
      <x:c r="O36" s="15" t="str">
        <x:v>source_material_diff_pending_human</x:v>
      </x:c>
      <x:c r="P36" s="15" t="str">
        <x:v>LING-DIFF-001;LING-CRIT-001;TECH-T06-FAIL;LING-LEN-002</x:v>
      </x:c>
      <x:c r="Q36" s="15" t="str">
        <x:v>PROFESSOR: Today I want to talk about one of the most important and least appreciated organisms on the planet: plankton. The word "plankton" comes from a Greek word meaning "drifter," because these tiny organisms drift with the ocean currents, unable to swim against them. They range from microscopic plants to small animals, and though individually they are tiny, collectively they have a planet-shaping influence.
Let's start with the plant-like plankton, called phytoplankton. Like plants on land, they perform photosynthesis, using sunlight to make energy and, crucially, releasing oxygen. Here's a fact that surprises most people: phytoplankton in the ocean produce roughly half of all the oxygen in Earth's atmosphere. So with every second breath you take, you have these invisible ocean drifters to thank, not the forests we usually picture.
Phytoplankton are also the foundation of nearly the entire ocean food web. Small animals called zooplankton eat the phytoplankton; small fish eat the zooplankton; larger fish eat the small fish; and so on up to whales and the fish we catch for food. Almost all life in the ocean depends, directly or indirectly, on these tiny drifting organisms. If phytoplankton were to decline sharply, the effects would ripple through the entire ocean and beyond.
And that brings me to why scientists watch plankton so closely. Because they are so sensitive to conditions like water temperature and chemistry, plankton populations act as an early warning system for the health of the oceans. Changes in plankton can signal larger environmental shifts, including those linked to climate change. Some studies have raised concerns that warming oceans may be affecting plankton in ways we don't fully understand yet. So these humble drifters are not only vital to life on Earth — they are also one of the key indicators scientists use to take the ocean's pulse. Never underestimate the small.</x:v>
      </x:c>
      <x:c r="R36" s="15" t="str">
        <x:v>Today I want to talk about one of the most important and least appreciated organisms on the planet, plankton. The word plankton comes from a Greek word meaning drifter, because these tiny organisms drift with the ocean currents, unable to swim against them. They range from microscopic plants to small animals, and though individually they are tiny, collectively they have a planet shaping influence. Let's start with the plant-like plankton called phytoplankton. Like plants on land, they perform photosynthesis, using sunlight to make energy, and, crucially, releasing oxygen. Here's a fact that surprises most people. Phytoplankton in the ocean produce roughly half of all the oxygen in Earth's atmosphere. So with every second breath you take, you have these invisible ocean drifters to thank. Not the forests we usually picture. Phytoplankton are also the foundation of nearly the entire ocean food web. Small animals called zooplankton eat the phytoplankton. Small fish eat the zooplankton. Larger fish eat the small fish, and so on up to whales and the fish we catch for food. Almost all life in the ocean depends directly or indirectly on these tiny drifting organisms. If phytoplankton were to decline sharply, the effects would ripple through the entire ocean and beyond. And that brings me to why scientists watch plankton so closely. Because they are so sensitive to conditions like water temperature and chemistry, plankton populations act as an early warning system for the health of the oceans. Studies in plankton can signal larger environmental shifts, including those linked to climate change. Some studies have raised concerns that warming oceans may be affecting plankton in ways we don't fully understand yet. So these humble drifters are not only vital to life on Earth. They are also one of the key indicators scientists use to take the ocean's pulse. underestimate the small.</x:v>
      </x:c>
      <x:c r="S36" s="15" t="str">
        <x:v>S:changes→studies | D:never</x:v>
      </x:c>
      <x:c r="T36" s="15" t="str">
        <x:v>source_contract_preserved_subject_to_T08</x:v>
      </x:c>
      <x:c r="U36" s="15" t="str">
        <x:v>C_linguistic_segment_or_reframe_candidate</x:v>
      </x:c>
      <x:c r="V36" s="16" t="str">
        <x:v>not_started</x:v>
      </x:c>
      <x:c r="W36" s="16"/>
      <x:c r="X36" s="16"/>
      <x:c r="Y36" s="16"/>
      <x:c r="Z36" s="16"/>
      <x:c r="AA36" s="16"/>
      <x:c r="AB36" s="16"/>
      <x:c r="AC36" s="16"/>
      <x:c r="AD36" s="16"/>
      <x:c r="AE36" s="16"/>
      <x:c r="AF36" s="16"/>
      <x:c r="AG36" s="16"/>
      <x:c r="AH36" s="16"/>
      <x:c r="AI36" s="16"/>
      <x:c r="AJ36" s="16"/>
      <x:c r="AK36" s="16"/>
      <x:c r="AL36" s="16"/>
      <x:c r="AM36" s="16"/>
      <x:c r="AN36" s="16"/>
      <x:c r="AO36" s="16"/>
      <x:c r="AP36" s="16"/>
      <x:c r="AQ36" s="16"/>
      <x:c r="AR36" s="16"/>
      <x:c r="AS36" s="16"/>
      <x:c r="AT36" s="20"/>
      <x:c r="AU36" s="16"/>
      <x:c r="AV36" s="16"/>
      <x:c r="AW36" s="16" t="str">
        <x:v>pending</x:v>
      </x:c>
      <x:c r="AX36" s="17" t="str">
        <x:v>blocked_not_validated</x:v>
      </x:c>
      <x:c r="AY36" s="18" t="str">
        <x:f>IF(OR(C36="yes",X36="corrected",COUNTIF(Z36:AL36,"major")&gt;0,COUNTIF(Z36:AL36,"blocker")&gt;0,OR(AO36="repair",AO36="segment",AO36="replace",AO36="block")),"yes","no")</x:f>
        <x:v>no</x:v>
      </x:c>
      <x:c r="AZ36" s="18" t="str">
        <x:f>IF(AND(V36="reviewed",W36&gt;=1,X36&lt;&gt;"",Y36&lt;&gt;"",COUNTA(Z36:AL36)=13,AM36&lt;&gt;"",AN36&lt;&gt;"",AO36&lt;&gt;"",AP36&lt;&gt;"",AQ36&lt;&gt;"",AR36&lt;&gt;"",AS36="I_listened_at_1x_and_completed_all_required_fields",AT36&lt;&gt;"",AW36="adjudicated",OR(AY36="no",AND(AU36&lt;&gt;"",AV36&lt;&gt;""))),"complete","incomplete")</x:f>
        <x:v>incomplete</x:v>
      </x:c>
      <x:c r="BA36" s="18" t="str">
        <x:f>IF(AZ36="complete","none","faltan campos humanos, adjudicación o segunda revisión")</x:f>
        <x:v>faltan campos humanos, adjudicación o segunda revisión</x:v>
      </x:c>
    </x:row>
    <x:row r="37" ht="36" customHeight="1">
      <x:c r="A37" s="15" t="n">
        <x:v>36</x:v>
      </x:c>
      <x:c r="B37" s="15" t="str">
        <x:v>P1-REPEAT</x:v>
      </x:c>
      <x:c r="C37" s="15" t="str">
        <x:v>no</x:v>
      </x:c>
      <x:c r="D37" s="15" t="str">
        <x:v>asset:toefl:set-3:part-12:repeat-3</x:v>
      </x:c>
      <x:c r="E37" s="15" t="str">
        <x:v>set-3</x:v>
      </x:c>
      <x:c r="F37" s="15" t="str">
        <x:v>Listen and Repeat</x:v>
      </x:c>
      <x:c r="G37" s="15" t="str">
        <x:v>/Users/josedavidduartesilva/Developer/idiomaswl/public/audio/toefl/set-3/repeat-3.mp3</x:v>
      </x:c>
      <x:c r="H37" s="19" t="n">
        <x:v>3.46</x:v>
      </x:c>
      <x:c r="I37" s="15" t="str">
        <x:v>P1</x:v>
      </x:c>
      <x:c r="J37" s="15" t="str">
        <x:v>100_percent_required_T08</x:v>
      </x:c>
      <x:c r="K37" s="15" t="str">
        <x:v>pass_automated_T06</x:v>
      </x:c>
      <x:c r="L37" s="15" t="str">
        <x:v>none</x:v>
      </x:c>
      <x:c r="M37" s="15" t="str">
        <x:v>none</x:v>
      </x:c>
      <x:c r="N37" s="15" t="str">
        <x:v>conserve_source_technical_candidate</x:v>
      </x:c>
      <x:c r="O37" s="15" t="str">
        <x:v>source_material_diff_pending_human</x:v>
      </x:c>
      <x:c r="P37" s="15" t="str">
        <x:v>LING-DIFF-001</x:v>
      </x:c>
      <x:c r="Q37" s="15" t="str">
        <x:v>The players trained hard for the upcoming championship.</x:v>
      </x:c>
      <x:c r="R37" s="15" t="str">
        <x:v>The players train hard for the upcoming championship.</x:v>
      </x:c>
      <x:c r="S37" s="15" t="str">
        <x:v>S:trained→train</x:v>
      </x:c>
      <x:c r="T37" s="15" t="str">
        <x:v>source_contract_preserved_subject_to_T08</x:v>
      </x:c>
      <x:c r="U37" s="15" t="str">
        <x:v>B_linguistic_adjudication_or_repair_candidate</x:v>
      </x:c>
      <x:c r="V37" s="16" t="str">
        <x:v>not_started</x:v>
      </x:c>
      <x:c r="W37" s="16"/>
      <x:c r="X37" s="16"/>
      <x:c r="Y37" s="16"/>
      <x:c r="Z37" s="16"/>
      <x:c r="AA37" s="16"/>
      <x:c r="AB37" s="16"/>
      <x:c r="AC37" s="16"/>
      <x:c r="AD37" s="16"/>
      <x:c r="AE37" s="16"/>
      <x:c r="AF37" s="16"/>
      <x:c r="AG37" s="16"/>
      <x:c r="AH37" s="16"/>
      <x:c r="AI37" s="16"/>
      <x:c r="AJ37" s="16"/>
      <x:c r="AK37" s="16"/>
      <x:c r="AL37" s="16"/>
      <x:c r="AM37" s="16"/>
      <x:c r="AN37" s="16"/>
      <x:c r="AO37" s="16"/>
      <x:c r="AP37" s="16"/>
      <x:c r="AQ37" s="16"/>
      <x:c r="AR37" s="16"/>
      <x:c r="AS37" s="16"/>
      <x:c r="AT37" s="20"/>
      <x:c r="AU37" s="16"/>
      <x:c r="AV37" s="16"/>
      <x:c r="AW37" s="16" t="str">
        <x:v>pending</x:v>
      </x:c>
      <x:c r="AX37" s="17" t="str">
        <x:v>blocked_not_validated</x:v>
      </x:c>
      <x:c r="AY37" s="18" t="str">
        <x:f>IF(OR(C37="yes",X37="corrected",COUNTIF(Z37:AL37,"major")&gt;0,COUNTIF(Z37:AL37,"blocker")&gt;0,OR(AO37="repair",AO37="segment",AO37="replace",AO37="block")),"yes","no")</x:f>
        <x:v>no</x:v>
      </x:c>
      <x:c r="AZ37" s="18" t="str">
        <x:f>IF(AND(V37="reviewed",W37&gt;=1,X37&lt;&gt;"",Y37&lt;&gt;"",COUNTA(Z37:AL37)=13,AM37&lt;&gt;"",AN37&lt;&gt;"",AO37&lt;&gt;"",AP37&lt;&gt;"",AQ37&lt;&gt;"",AR37&lt;&gt;"",AS37="I_listened_at_1x_and_completed_all_required_fields",AT37&lt;&gt;"",AW37="adjudicated",OR(AY37="no",AND(AU37&lt;&gt;"",AV37&lt;&gt;""))),"complete","incomplete")</x:f>
        <x:v>incomplete</x:v>
      </x:c>
      <x:c r="BA37" s="18" t="str">
        <x:f>IF(AZ37="complete","none","faltan campos humanos, adjudicación o segunda revisión")</x:f>
        <x:v>faltan campos humanos, adjudicación o segunda revisión</x:v>
      </x:c>
    </x:row>
    <x:row r="38" ht="36" customHeight="1">
      <x:c r="A38" s="15" t="n">
        <x:v>37</x:v>
      </x:c>
      <x:c r="B38" s="15" t="str">
        <x:v>P1-CHOOSE</x:v>
      </x:c>
      <x:c r="C38" s="15" t="str">
        <x:v>no</x:v>
      </x:c>
      <x:c r="D38" s="15" t="str">
        <x:v>asset:toefl:set-4:part-5:listen-choose-1</x:v>
      </x:c>
      <x:c r="E38" s="15" t="str">
        <x:v>set-4</x:v>
      </x:c>
      <x:c r="F38" s="15" t="str">
        <x:v>Listen and Choose a Response</x:v>
      </x:c>
      <x:c r="G38" s="15" t="str">
        <x:v>/Users/josedavidduartesilva/Developer/idiomaswl/public/audio/toefl/set-4/listen-choose-1.mp3</x:v>
      </x:c>
      <x:c r="H38" s="19" t="n">
        <x:v>3.22</x:v>
      </x:c>
      <x:c r="I38" s="15" t="str">
        <x:v>P1</x:v>
      </x:c>
      <x:c r="J38" s="15" t="str">
        <x:v>100_percent_required_T08</x:v>
      </x:c>
      <x:c r="K38" s="15" t="str">
        <x:v>pass_automated_T06</x:v>
      </x:c>
      <x:c r="L38" s="15" t="str">
        <x:v>none</x:v>
      </x:c>
      <x:c r="M38" s="15" t="str">
        <x:v>none</x:v>
      </x:c>
      <x:c r="N38" s="15" t="str">
        <x:v>conserve_source_technical_candidate</x:v>
      </x:c>
      <x:c r="O38" s="15" t="str">
        <x:v>asr_candidate_recovered_pending_human</x:v>
      </x:c>
      <x:c r="P38" s="15" t="str">
        <x:v>LING-SOURCE-001;LING-STRESS-001</x:v>
      </x:c>
      <x:c r="Q38" s="15" t="str"/>
      <x:c r="R38" s="15" t="str">
        <x:v>Excuse me, could you tell me where the reading room is?</x:v>
      </x:c>
      <x:c r="S38" s="15" t="str">
        <x:v>no_source_candidate</x:v>
      </x:c>
      <x:c r="T38" s="15" t="str">
        <x:v>manual_exchange_review_pass_pending_T08</x:v>
      </x:c>
      <x:c r="U38" s="15" t="str">
        <x:v>B_transcript_adjudication_candidate</x:v>
      </x:c>
      <x:c r="V38" s="16" t="str">
        <x:v>not_started</x:v>
      </x:c>
      <x:c r="W38" s="16"/>
      <x:c r="X38" s="16"/>
      <x:c r="Y38" s="16"/>
      <x:c r="Z38" s="16"/>
      <x:c r="AA38" s="16"/>
      <x:c r="AB38" s="16"/>
      <x:c r="AC38" s="16"/>
      <x:c r="AD38" s="16"/>
      <x:c r="AE38" s="16"/>
      <x:c r="AF38" s="16"/>
      <x:c r="AG38" s="16"/>
      <x:c r="AH38" s="16"/>
      <x:c r="AI38" s="16"/>
      <x:c r="AJ38" s="16"/>
      <x:c r="AK38" s="16"/>
      <x:c r="AL38" s="16"/>
      <x:c r="AM38" s="16"/>
      <x:c r="AN38" s="16"/>
      <x:c r="AO38" s="16"/>
      <x:c r="AP38" s="16"/>
      <x:c r="AQ38" s="16"/>
      <x:c r="AR38" s="16"/>
      <x:c r="AS38" s="16"/>
      <x:c r="AT38" s="20"/>
      <x:c r="AU38" s="16"/>
      <x:c r="AV38" s="16"/>
      <x:c r="AW38" s="16" t="str">
        <x:v>pending</x:v>
      </x:c>
      <x:c r="AX38" s="17" t="str">
        <x:v>blocked_not_validated</x:v>
      </x:c>
      <x:c r="AY38" s="18" t="str">
        <x:f>IF(OR(C38="yes",X38="corrected",COUNTIF(Z38:AL38,"major")&gt;0,COUNTIF(Z38:AL38,"blocker")&gt;0,OR(AO38="repair",AO38="segment",AO38="replace",AO38="block")),"yes","no")</x:f>
        <x:v>no</x:v>
      </x:c>
      <x:c r="AZ38" s="18" t="str">
        <x:f>IF(AND(V38="reviewed",W38&gt;=1,X38&lt;&gt;"",Y38&lt;&gt;"",COUNTA(Z38:AL38)=13,AM38&lt;&gt;"",AN38&lt;&gt;"",AO38&lt;&gt;"",AP38&lt;&gt;"",AQ38&lt;&gt;"",AR38&lt;&gt;"",AS38="I_listened_at_1x_and_completed_all_required_fields",AT38&lt;&gt;"",AW38="adjudicated",OR(AY38="no",AND(AU38&lt;&gt;"",AV38&lt;&gt;""))),"complete","incomplete")</x:f>
        <x:v>incomplete</x:v>
      </x:c>
      <x:c r="BA38" s="18" t="str">
        <x:f>IF(AZ38="complete","none","faltan campos humanos, adjudicación o segunda revisión")</x:f>
        <x:v>faltan campos humanos, adjudicación o segunda revisión</x:v>
      </x:c>
    </x:row>
    <x:row r="39" ht="36" customHeight="1">
      <x:c r="A39" s="15" t="n">
        <x:v>38</x:v>
      </x:c>
      <x:c r="B39" s="15" t="str">
        <x:v>P1-CHOOSE</x:v>
      </x:c>
      <x:c r="C39" s="15" t="str">
        <x:v>no</x:v>
      </x:c>
      <x:c r="D39" s="15" t="str">
        <x:v>asset:toefl:set-4:part-5:listen-choose-2</x:v>
      </x:c>
      <x:c r="E39" s="15" t="str">
        <x:v>set-4</x:v>
      </x:c>
      <x:c r="F39" s="15" t="str">
        <x:v>Listen and Choose a Response</x:v>
      </x:c>
      <x:c r="G39" s="15" t="str">
        <x:v>/Users/josedavidduartesilva/Developer/idiomaswl/public/audio/toefl/set-4/listen-choose-2.mp3</x:v>
      </x:c>
      <x:c r="H39" s="19" t="n">
        <x:v>2.98</x:v>
      </x:c>
      <x:c r="I39" s="15" t="str">
        <x:v>P1</x:v>
      </x:c>
      <x:c r="J39" s="15" t="str">
        <x:v>100_percent_required_T08</x:v>
      </x:c>
      <x:c r="K39" s="15" t="str">
        <x:v>pass_with_actionable_warning</x:v>
      </x:c>
      <x:c r="L39" s="15" t="str">
        <x:v>none</x:v>
      </x:c>
      <x:c r="M39" s="15" t="str">
        <x:v>TECH-LDN-003;TECH-PEAK-003</x:v>
      </x:c>
      <x:c r="N39" s="15" t="str">
        <x:v>review_warning_in_T08_before_conserve</x:v>
      </x:c>
      <x:c r="O39" s="15" t="str">
        <x:v>asr_candidate_recovered_pending_human</x:v>
      </x:c>
      <x:c r="P39" s="15" t="str">
        <x:v>LING-SOURCE-001;LING-STRESS-001</x:v>
      </x:c>
      <x:c r="Q39" s="15" t="str"/>
      <x:c r="R39" s="15" t="str">
        <x:v>Would you be able to drive me to the airport tomorrow morning?</x:v>
      </x:c>
      <x:c r="S39" s="15" t="str">
        <x:v>no_source_candidate</x:v>
      </x:c>
      <x:c r="T39" s="15" t="str">
        <x:v>manual_exchange_review_pass_pending_T08</x:v>
      </x:c>
      <x:c r="U39" s="15" t="str">
        <x:v>B_transcript_adjudication_candidate</x:v>
      </x:c>
      <x:c r="V39" s="16" t="str">
        <x:v>not_started</x:v>
      </x:c>
      <x:c r="W39" s="16"/>
      <x:c r="X39" s="16"/>
      <x:c r="Y39" s="16"/>
      <x:c r="Z39" s="16"/>
      <x:c r="AA39" s="16"/>
      <x:c r="AB39" s="16"/>
      <x:c r="AC39" s="16"/>
      <x:c r="AD39" s="16"/>
      <x:c r="AE39" s="16"/>
      <x:c r="AF39" s="16"/>
      <x:c r="AG39" s="16"/>
      <x:c r="AH39" s="16"/>
      <x:c r="AI39" s="16"/>
      <x:c r="AJ39" s="16"/>
      <x:c r="AK39" s="16"/>
      <x:c r="AL39" s="16"/>
      <x:c r="AM39" s="16"/>
      <x:c r="AN39" s="16"/>
      <x:c r="AO39" s="16"/>
      <x:c r="AP39" s="16"/>
      <x:c r="AQ39" s="16"/>
      <x:c r="AR39" s="16"/>
      <x:c r="AS39" s="16"/>
      <x:c r="AT39" s="20"/>
      <x:c r="AU39" s="16"/>
      <x:c r="AV39" s="16"/>
      <x:c r="AW39" s="16" t="str">
        <x:v>pending</x:v>
      </x:c>
      <x:c r="AX39" s="17" t="str">
        <x:v>blocked_not_validated</x:v>
      </x:c>
      <x:c r="AY39" s="18" t="str">
        <x:f>IF(OR(C39="yes",X39="corrected",COUNTIF(Z39:AL39,"major")&gt;0,COUNTIF(Z39:AL39,"blocker")&gt;0,OR(AO39="repair",AO39="segment",AO39="replace",AO39="block")),"yes","no")</x:f>
        <x:v>no</x:v>
      </x:c>
      <x:c r="AZ39" s="18" t="str">
        <x:f>IF(AND(V39="reviewed",W39&gt;=1,X39&lt;&gt;"",Y39&lt;&gt;"",COUNTA(Z39:AL39)=13,AM39&lt;&gt;"",AN39&lt;&gt;"",AO39&lt;&gt;"",AP39&lt;&gt;"",AQ39&lt;&gt;"",AR39&lt;&gt;"",AS39="I_listened_at_1x_and_completed_all_required_fields",AT39&lt;&gt;"",AW39="adjudicated",OR(AY39="no",AND(AU39&lt;&gt;"",AV39&lt;&gt;""))),"complete","incomplete")</x:f>
        <x:v>incomplete</x:v>
      </x:c>
      <x:c r="BA39" s="18" t="str">
        <x:f>IF(AZ39="complete","none","faltan campos humanos, adjudicación o segunda revisión")</x:f>
        <x:v>faltan campos humanos, adjudicación o segunda revisión</x:v>
      </x:c>
    </x:row>
    <x:row r="40" ht="36" customHeight="1">
      <x:c r="A40" s="15" t="n">
        <x:v>39</x:v>
      </x:c>
      <x:c r="B40" s="15" t="str">
        <x:v>P1-CHOOSE</x:v>
      </x:c>
      <x:c r="C40" s="15" t="str">
        <x:v>no</x:v>
      </x:c>
      <x:c r="D40" s="15" t="str">
        <x:v>asset:toefl:set-4:part-5:listen-choose-3</x:v>
      </x:c>
      <x:c r="E40" s="15" t="str">
        <x:v>set-4</x:v>
      </x:c>
      <x:c r="F40" s="15" t="str">
        <x:v>Listen and Choose a Response</x:v>
      </x:c>
      <x:c r="G40" s="15" t="str">
        <x:v>/Users/josedavidduartesilva/Developer/idiomaswl/public/audio/toefl/set-4/listen-choose-3.mp3</x:v>
      </x:c>
      <x:c r="H40" s="19" t="n">
        <x:v>2.82</x:v>
      </x:c>
      <x:c r="I40" s="15" t="str">
        <x:v>P1</x:v>
      </x:c>
      <x:c r="J40" s="15" t="str">
        <x:v>100_percent_required_T08</x:v>
      </x:c>
      <x:c r="K40" s="15" t="str">
        <x:v>pass_with_actionable_warning</x:v>
      </x:c>
      <x:c r="L40" s="15" t="str">
        <x:v>none</x:v>
      </x:c>
      <x:c r="M40" s="15" t="str">
        <x:v>TECH-LDN-003</x:v>
      </x:c>
      <x:c r="N40" s="15" t="str">
        <x:v>review_warning_in_T08_before_conserve</x:v>
      </x:c>
      <x:c r="O40" s="15" t="str">
        <x:v>asr_candidate_recovered_pending_human</x:v>
      </x:c>
      <x:c r="P40" s="15" t="str">
        <x:v>LING-SOURCE-001;LING-STRESS-001</x:v>
      </x:c>
      <x:c r="Q40" s="15" t="str"/>
      <x:c r="R40" s="15" t="str">
        <x:v>Do you know what time the shop opens in the morning?</x:v>
      </x:c>
      <x:c r="S40" s="15" t="str">
        <x:v>no_source_candidate</x:v>
      </x:c>
      <x:c r="T40" s="15" t="str">
        <x:v>manual_exchange_review_pass_pending_T08</x:v>
      </x:c>
      <x:c r="U40" s="15" t="str">
        <x:v>B_transcript_adjudication_candidate</x:v>
      </x:c>
      <x:c r="V40" s="16" t="str">
        <x:v>not_started</x:v>
      </x:c>
      <x:c r="W40" s="16"/>
      <x:c r="X40" s="16"/>
      <x:c r="Y40" s="16"/>
      <x:c r="Z40" s="16"/>
      <x:c r="AA40" s="16"/>
      <x:c r="AB40" s="16"/>
      <x:c r="AC40" s="16"/>
      <x:c r="AD40" s="16"/>
      <x:c r="AE40" s="16"/>
      <x:c r="AF40" s="16"/>
      <x:c r="AG40" s="16"/>
      <x:c r="AH40" s="16"/>
      <x:c r="AI40" s="16"/>
      <x:c r="AJ40" s="16"/>
      <x:c r="AK40" s="16"/>
      <x:c r="AL40" s="16"/>
      <x:c r="AM40" s="16"/>
      <x:c r="AN40" s="16"/>
      <x:c r="AO40" s="16"/>
      <x:c r="AP40" s="16"/>
      <x:c r="AQ40" s="16"/>
      <x:c r="AR40" s="16"/>
      <x:c r="AS40" s="16"/>
      <x:c r="AT40" s="20"/>
      <x:c r="AU40" s="16"/>
      <x:c r="AV40" s="16"/>
      <x:c r="AW40" s="16" t="str">
        <x:v>pending</x:v>
      </x:c>
      <x:c r="AX40" s="17" t="str">
        <x:v>blocked_not_validated</x:v>
      </x:c>
      <x:c r="AY40" s="18" t="str">
        <x:f>IF(OR(C40="yes",X40="corrected",COUNTIF(Z40:AL40,"major")&gt;0,COUNTIF(Z40:AL40,"blocker")&gt;0,OR(AO40="repair",AO40="segment",AO40="replace",AO40="block")),"yes","no")</x:f>
        <x:v>no</x:v>
      </x:c>
      <x:c r="AZ40" s="18" t="str">
        <x:f>IF(AND(V40="reviewed",W40&gt;=1,X40&lt;&gt;"",Y40&lt;&gt;"",COUNTA(Z40:AL40)=13,AM40&lt;&gt;"",AN40&lt;&gt;"",AO40&lt;&gt;"",AP40&lt;&gt;"",AQ40&lt;&gt;"",AR40&lt;&gt;"",AS40="I_listened_at_1x_and_completed_all_required_fields",AT40&lt;&gt;"",AW40="adjudicated",OR(AY40="no",AND(AU40&lt;&gt;"",AV40&lt;&gt;""))),"complete","incomplete")</x:f>
        <x:v>incomplete</x:v>
      </x:c>
      <x:c r="BA40" s="18" t="str">
        <x:f>IF(AZ40="complete","none","faltan campos humanos, adjudicación o segunda revisión")</x:f>
        <x:v>faltan campos humanos, adjudicación o segunda revisión</x:v>
      </x:c>
    </x:row>
    <x:row r="41" ht="36" customHeight="1">
      <x:c r="A41" s="15" t="n">
        <x:v>40</x:v>
      </x:c>
      <x:c r="B41" s="15" t="str">
        <x:v>P1-CHOOSE</x:v>
      </x:c>
      <x:c r="C41" s="15" t="str">
        <x:v>no</x:v>
      </x:c>
      <x:c r="D41" s="15" t="str">
        <x:v>asset:toefl:set-4:part-5:listen-choose-4</x:v>
      </x:c>
      <x:c r="E41" s="15" t="str">
        <x:v>set-4</x:v>
      </x:c>
      <x:c r="F41" s="15" t="str">
        <x:v>Listen and Choose a Response</x:v>
      </x:c>
      <x:c r="G41" s="15" t="str">
        <x:v>/Users/josedavidduartesilva/Developer/idiomaswl/public/audio/toefl/set-4/listen-choose-4.mp3</x:v>
      </x:c>
      <x:c r="H41" s="19" t="n">
        <x:v>4.34</x:v>
      </x:c>
      <x:c r="I41" s="15" t="str">
        <x:v>P1</x:v>
      </x:c>
      <x:c r="J41" s="15" t="str">
        <x:v>100_percent_required_T08</x:v>
      </x:c>
      <x:c r="K41" s="15" t="str">
        <x:v>fail_actionable</x:v>
      </x:c>
      <x:c r="L41" s="15" t="str">
        <x:v>TECH-LDN-002</x:v>
      </x:c>
      <x:c r="M41" s="15" t="str">
        <x:v>TECH-PEAK-003</x:v>
      </x:c>
      <x:c r="N41" s="15" t="str">
        <x:v>measure_gain_create_versioned_normalized_variant</x:v>
      </x:c>
      <x:c r="O41" s="15" t="str">
        <x:v>asr_candidate_recovered_pending_human</x:v>
      </x:c>
      <x:c r="P41" s="15" t="str">
        <x:v>LING-SOURCE-001;TECH-T06-FAIL;LING-STRESS-001</x:v>
      </x:c>
      <x:c r="Q41" s="15" t="str"/>
      <x:c r="R41" s="15" t="str">
        <x:v>This box is so heavy! Could you give me a hand carrying it up?</x:v>
      </x:c>
      <x:c r="S41" s="15" t="str">
        <x:v>no_source_candidate</x:v>
      </x:c>
      <x:c r="T41" s="15" t="str">
        <x:v>manual_exchange_review_pass_pending_T08</x:v>
      </x:c>
      <x:c r="U41" s="15" t="str">
        <x:v>B_transcript_adjudication_candidate</x:v>
      </x:c>
      <x:c r="V41" s="16" t="str">
        <x:v>not_started</x:v>
      </x:c>
      <x:c r="W41" s="16"/>
      <x:c r="X41" s="16"/>
      <x:c r="Y41" s="16"/>
      <x:c r="Z41" s="16"/>
      <x:c r="AA41" s="16"/>
      <x:c r="AB41" s="16"/>
      <x:c r="AC41" s="16"/>
      <x:c r="AD41" s="16"/>
      <x:c r="AE41" s="16"/>
      <x:c r="AF41" s="16"/>
      <x:c r="AG41" s="16"/>
      <x:c r="AH41" s="16"/>
      <x:c r="AI41" s="16"/>
      <x:c r="AJ41" s="16"/>
      <x:c r="AK41" s="16"/>
      <x:c r="AL41" s="16"/>
      <x:c r="AM41" s="16"/>
      <x:c r="AN41" s="16"/>
      <x:c r="AO41" s="16"/>
      <x:c r="AP41" s="16"/>
      <x:c r="AQ41" s="16"/>
      <x:c r="AR41" s="16"/>
      <x:c r="AS41" s="16"/>
      <x:c r="AT41" s="20"/>
      <x:c r="AU41" s="16"/>
      <x:c r="AV41" s="16"/>
      <x:c r="AW41" s="16" t="str">
        <x:v>pending</x:v>
      </x:c>
      <x:c r="AX41" s="17" t="str">
        <x:v>blocked_not_validated</x:v>
      </x:c>
      <x:c r="AY41" s="18" t="str">
        <x:f>IF(OR(C41="yes",X41="corrected",COUNTIF(Z41:AL41,"major")&gt;0,COUNTIF(Z41:AL41,"blocker")&gt;0,OR(AO41="repair",AO41="segment",AO41="replace",AO41="block")),"yes","no")</x:f>
        <x:v>no</x:v>
      </x:c>
      <x:c r="AZ41" s="18" t="str">
        <x:f>IF(AND(V41="reviewed",W41&gt;=1,X41&lt;&gt;"",Y41&lt;&gt;"",COUNTA(Z41:AL41)=13,AM41&lt;&gt;"",AN41&lt;&gt;"",AO41&lt;&gt;"",AP41&lt;&gt;"",AQ41&lt;&gt;"",AR41&lt;&gt;"",AS41="I_listened_at_1x_and_completed_all_required_fields",AT41&lt;&gt;"",AW41="adjudicated",OR(AY41="no",AND(AU41&lt;&gt;"",AV41&lt;&gt;""))),"complete","incomplete")</x:f>
        <x:v>incomplete</x:v>
      </x:c>
      <x:c r="BA41" s="18" t="str">
        <x:f>IF(AZ41="complete","none","faltan campos humanos, adjudicación o segunda revisión")</x:f>
        <x:v>faltan campos humanos, adjudicación o segunda revisión</x:v>
      </x:c>
    </x:row>
    <x:row r="42" ht="36" customHeight="1">
      <x:c r="A42" s="15" t="n">
        <x:v>41</x:v>
      </x:c>
      <x:c r="B42" s="15" t="str">
        <x:v>P1-CHOOSE</x:v>
      </x:c>
      <x:c r="C42" s="15" t="str">
        <x:v>no</x:v>
      </x:c>
      <x:c r="D42" s="15" t="str">
        <x:v>asset:toefl:set-4:part-5:listen-choose-5</x:v>
      </x:c>
      <x:c r="E42" s="15" t="str">
        <x:v>set-4</x:v>
      </x:c>
      <x:c r="F42" s="15" t="str">
        <x:v>Listen and Choose a Response</x:v>
      </x:c>
      <x:c r="G42" s="15" t="str">
        <x:v>/Users/josedavidduartesilva/Developer/idiomaswl/public/audio/toefl/set-4/listen-choose-5.mp3</x:v>
      </x:c>
      <x:c r="H42" s="19" t="n">
        <x:v>2.02</x:v>
      </x:c>
      <x:c r="I42" s="15" t="str">
        <x:v>P1</x:v>
      </x:c>
      <x:c r="J42" s="15" t="str">
        <x:v>100_percent_required_T08</x:v>
      </x:c>
      <x:c r="K42" s="15" t="str">
        <x:v>pass_automated_T06</x:v>
      </x:c>
      <x:c r="L42" s="15" t="str">
        <x:v>none</x:v>
      </x:c>
      <x:c r="M42" s="15" t="str">
        <x:v>none</x:v>
      </x:c>
      <x:c r="N42" s="15" t="str">
        <x:v>conserve_source_technical_candidate</x:v>
      </x:c>
      <x:c r="O42" s="15" t="str">
        <x:v>asr_candidate_recovered_pending_human</x:v>
      </x:c>
      <x:c r="P42" s="15" t="str">
        <x:v>LING-SOURCE-001;LING-STRESS-001</x:v>
      </x:c>
      <x:c r="Q42" s="15" t="str"/>
      <x:c r="R42" s="15" t="str">
        <x:v>So, did you make the team?</x:v>
      </x:c>
      <x:c r="S42" s="15" t="str">
        <x:v>no_source_candidate</x:v>
      </x:c>
      <x:c r="T42" s="15" t="str">
        <x:v>manual_exchange_review_pass_pending_T08</x:v>
      </x:c>
      <x:c r="U42" s="15" t="str">
        <x:v>B_transcript_adjudication_candidate</x:v>
      </x:c>
      <x:c r="V42" s="16" t="str">
        <x:v>not_started</x:v>
      </x:c>
      <x:c r="W42" s="16"/>
      <x:c r="X42" s="16"/>
      <x:c r="Y42" s="16"/>
      <x:c r="Z42" s="16"/>
      <x:c r="AA42" s="16"/>
      <x:c r="AB42" s="16"/>
      <x:c r="AC42" s="16"/>
      <x:c r="AD42" s="16"/>
      <x:c r="AE42" s="16"/>
      <x:c r="AF42" s="16"/>
      <x:c r="AG42" s="16"/>
      <x:c r="AH42" s="16"/>
      <x:c r="AI42" s="16"/>
      <x:c r="AJ42" s="16"/>
      <x:c r="AK42" s="16"/>
      <x:c r="AL42" s="16"/>
      <x:c r="AM42" s="16"/>
      <x:c r="AN42" s="16"/>
      <x:c r="AO42" s="16"/>
      <x:c r="AP42" s="16"/>
      <x:c r="AQ42" s="16"/>
      <x:c r="AR42" s="16"/>
      <x:c r="AS42" s="16"/>
      <x:c r="AT42" s="20"/>
      <x:c r="AU42" s="16"/>
      <x:c r="AV42" s="16"/>
      <x:c r="AW42" s="16" t="str">
        <x:v>pending</x:v>
      </x:c>
      <x:c r="AX42" s="17" t="str">
        <x:v>blocked_not_validated</x:v>
      </x:c>
      <x:c r="AY42" s="18" t="str">
        <x:f>IF(OR(C42="yes",X42="corrected",COUNTIF(Z42:AL42,"major")&gt;0,COUNTIF(Z42:AL42,"blocker")&gt;0,OR(AO42="repair",AO42="segment",AO42="replace",AO42="block")),"yes","no")</x:f>
        <x:v>no</x:v>
      </x:c>
      <x:c r="AZ42" s="18" t="str">
        <x:f>IF(AND(V42="reviewed",W42&gt;=1,X42&lt;&gt;"",Y42&lt;&gt;"",COUNTA(Z42:AL42)=13,AM42&lt;&gt;"",AN42&lt;&gt;"",AO42&lt;&gt;"",AP42&lt;&gt;"",AQ42&lt;&gt;"",AR42&lt;&gt;"",AS42="I_listened_at_1x_and_completed_all_required_fields",AT42&lt;&gt;"",AW42="adjudicated",OR(AY42="no",AND(AU42&lt;&gt;"",AV42&lt;&gt;""))),"complete","incomplete")</x:f>
        <x:v>incomplete</x:v>
      </x:c>
      <x:c r="BA42" s="18" t="str">
        <x:f>IF(AZ42="complete","none","faltan campos humanos, adjudicación o segunda revisión")</x:f>
        <x:v>faltan campos humanos, adjudicación o segunda revisión</x:v>
      </x:c>
    </x:row>
    <x:row r="43" ht="36" customHeight="1">
      <x:c r="A43" s="15" t="n">
        <x:v>42</x:v>
      </x:c>
      <x:c r="B43" s="15" t="str">
        <x:v>P1-LONG</x:v>
      </x:c>
      <x:c r="C43" s="15" t="str">
        <x:v>no</x:v>
      </x:c>
      <x:c r="D43" s="15" t="str">
        <x:v>asset:toefl:set-4:part-6:conversation</x:v>
      </x:c>
      <x:c r="E43" s="15" t="str">
        <x:v>set-4</x:v>
      </x:c>
      <x:c r="F43" s="15" t="str">
        <x:v>Listen to a Conversation</x:v>
      </x:c>
      <x:c r="G43" s="15" t="str">
        <x:v>/Users/josedavidduartesilva/Developer/idiomaswl/public/audio/toefl/set-4/conversation.mp3</x:v>
      </x:c>
      <x:c r="H43" s="19" t="n">
        <x:v>73.04</x:v>
      </x:c>
      <x:c r="I43" s="15" t="str">
        <x:v>P1</x:v>
      </x:c>
      <x:c r="J43" s="15" t="str">
        <x:v>100_percent_required_T08_T15</x:v>
      </x:c>
      <x:c r="K43" s="15" t="str">
        <x:v>pass_with_actionable_warning</x:v>
      </x:c>
      <x:c r="L43" s="15" t="str">
        <x:v>none</x:v>
      </x:c>
      <x:c r="M43" s="15" t="str">
        <x:v>TECH-PEAK-003</x:v>
      </x:c>
      <x:c r="N43" s="15" t="str">
        <x:v>review_warning_in_T08_before_conserve</x:v>
      </x:c>
      <x:c r="O43" s="15" t="str">
        <x:v>source_material_diff_pending_human</x:v>
      </x:c>
      <x:c r="P43" s="15" t="str">
        <x:v>LING-DIFF-001;LING-CRIT-001;LING-LEN-001</x:v>
      </x:c>
      <x:c r="Q43" s="15" t="str">
        <x:v>STUDENT: Hi, I borrowed a book last month, and I just realized it's overdue. I'm really sorry — I completely lost track of time.
LIBRARIAN: No problem, it happens all the time. Let me check your account. Okay, yes, it's about two weeks overdue. There's a small fine — ten cents a day, so that's one dollar forty.
STUDENT: Oh, that's not as bad as I feared. Can I pay it now?
LIBRARIAN: You can, but actually, let me mention something. If you're a first-time offender — and I can see this is your first overdue book — we can waive the fine this once. It's a policy we have to encourage students to keep using the library rather than avoiding it out of guilt.
STUDENT: Really? That's very kind. Thank you.
LIBRARIAN: You're welcome. Just try to return things on time in future. One tip: you can renew a book online up to three times, as long as no one else has requested it. So if you need more time, renew it before the due date rather than letting it go overdue.
STUDENT: I didn't know I could renew online. That's really useful. Actually, could I renew this same book? I haven't finished it.
LIBRARIAN: Let me check... yes, no one's waiting for it, so I'll renew it for you now. That gives you another three weeks.</x:v>
      </x:c>
      <x:c r="R43" s="15" t="str">
        <x:v>Hi, I borrowed a book last month, and I just realized it's overdue. I'm really sorry. I completely lost track of time. No problem. It happens all the time. Let me check your account. Okay, yes, it's about two weeks overdue. There's a small fine, ten cents a day, so that's $1.40. Oh, that's not as bad as I feared. Can I pay it now? You can, but actually, let me mention something. If you're a first-time offender, and I can see this is your first overdue book, we can waive the fine this once. It's a policy we have to encourage students to keep using the library rather than avoiding it out of guilt. Really, that's very kind. Thank you. You're welcome. Just try to return things on time in future. One tip, you can renew a book online up to three times, as long as no one else has requested it. more time. Renew it before the due date rather than letting it go over due. I didn't know I could renew online. That's really useful. Actually, could I renew the same book? I haven't finished it. Let me check. Yes, no one's waiting for it. So I'll renew it for you now. That gives you another three weeks.</x:v>
      </x:c>
      <x:c r="S43" s="15" t="str">
        <x:v>D:one | S:400→one.400 | D:so | D:if | D:you | D:need | I:over | S:overdue→due | S:this→the</x:v>
      </x:c>
      <x:c r="T43" s="15" t="str">
        <x:v>source_contract_preserved_subject_to_T08</x:v>
      </x:c>
      <x:c r="U43" s="15" t="str">
        <x:v>C_linguistic_segment_or_reframe_candidate</x:v>
      </x:c>
      <x:c r="V43" s="16" t="str">
        <x:v>not_started</x:v>
      </x:c>
      <x:c r="W43" s="16"/>
      <x:c r="X43" s="16"/>
      <x:c r="Y43" s="16"/>
      <x:c r="Z43" s="16"/>
      <x:c r="AA43" s="16"/>
      <x:c r="AB43" s="16"/>
      <x:c r="AC43" s="16"/>
      <x:c r="AD43" s="16"/>
      <x:c r="AE43" s="16"/>
      <x:c r="AF43" s="16"/>
      <x:c r="AG43" s="16"/>
      <x:c r="AH43" s="16"/>
      <x:c r="AI43" s="16"/>
      <x:c r="AJ43" s="16"/>
      <x:c r="AK43" s="16"/>
      <x:c r="AL43" s="16"/>
      <x:c r="AM43" s="16"/>
      <x:c r="AN43" s="16"/>
      <x:c r="AO43" s="16"/>
      <x:c r="AP43" s="16"/>
      <x:c r="AQ43" s="16"/>
      <x:c r="AR43" s="16"/>
      <x:c r="AS43" s="16"/>
      <x:c r="AT43" s="20"/>
      <x:c r="AU43" s="16"/>
      <x:c r="AV43" s="16"/>
      <x:c r="AW43" s="16" t="str">
        <x:v>pending</x:v>
      </x:c>
      <x:c r="AX43" s="17" t="str">
        <x:v>blocked_not_validated</x:v>
      </x:c>
      <x:c r="AY43" s="18" t="str">
        <x:f>IF(OR(C43="yes",X43="corrected",COUNTIF(Z43:AL43,"major")&gt;0,COUNTIF(Z43:AL43,"blocker")&gt;0,OR(AO43="repair",AO43="segment",AO43="replace",AO43="block")),"yes","no")</x:f>
        <x:v>no</x:v>
      </x:c>
      <x:c r="AZ43" s="18" t="str">
        <x:f>IF(AND(V43="reviewed",W43&gt;=1,X43&lt;&gt;"",Y43&lt;&gt;"",COUNTA(Z43:AL43)=13,AM43&lt;&gt;"",AN43&lt;&gt;"",AO43&lt;&gt;"",AP43&lt;&gt;"",AQ43&lt;&gt;"",AR43&lt;&gt;"",AS43="I_listened_at_1x_and_completed_all_required_fields",AT43&lt;&gt;"",AW43="adjudicated",OR(AY43="no",AND(AU43&lt;&gt;"",AV43&lt;&gt;""))),"complete","incomplete")</x:f>
        <x:v>incomplete</x:v>
      </x:c>
      <x:c r="BA43" s="18" t="str">
        <x:f>IF(AZ43="complete","none","faltan campos humanos, adjudicación o segunda revisión")</x:f>
        <x:v>faltan campos humanos, adjudicación o segunda revisión</x:v>
      </x:c>
    </x:row>
    <x:row r="44" ht="36" customHeight="1">
      <x:c r="A44" s="15" t="n">
        <x:v>43</x:v>
      </x:c>
      <x:c r="B44" s="15" t="str">
        <x:v>P1-LONG</x:v>
      </x:c>
      <x:c r="C44" s="15" t="str">
        <x:v>no</x:v>
      </x:c>
      <x:c r="D44" s="15" t="str">
        <x:v>asset:toefl:set-4:part-7:announcement</x:v>
      </x:c>
      <x:c r="E44" s="15" t="str">
        <x:v>set-4</x:v>
      </x:c>
      <x:c r="F44" s="15" t="str">
        <x:v>Listen to an Announcement</x:v>
      </x:c>
      <x:c r="G44" s="15" t="str">
        <x:v>/Users/josedavidduartesilva/Developer/idiomaswl/public/audio/toefl/set-4/announcement.mp3</x:v>
      </x:c>
      <x:c r="H44" s="19" t="n">
        <x:v>51.14</x:v>
      </x:c>
      <x:c r="I44" s="15" t="str">
        <x:v>P1</x:v>
      </x:c>
      <x:c r="J44" s="15" t="str">
        <x:v>100_percent_required_T08_T15</x:v>
      </x:c>
      <x:c r="K44" s="15" t="str">
        <x:v>pass_with_actionable_warning</x:v>
      </x:c>
      <x:c r="L44" s="15" t="str">
        <x:v>none</x:v>
      </x:c>
      <x:c r="M44" s="15" t="str">
        <x:v>TECH-PEAK-003</x:v>
      </x:c>
      <x:c r="N44" s="15" t="str">
        <x:v>review_warning_in_T08_before_conserve</x:v>
      </x:c>
      <x:c r="O44" s="15" t="str">
        <x:v>source_exact_normalized_supported_pending_human</x:v>
      </x:c>
      <x:c r="P44" s="15" t="str">
        <x:v>LING-LEN-001</x:v>
      </x:c>
      <x:c r="Q44" s="15" t="str">
        <x:v>Good morning, everyone. This is an announcement about the university's new bike-repair station, which opens this week near the main entrance. As part of our effort to encourage cycling, the station provides free tools that any student or staff member can use to make basic repairs to their bicycle — things like pumping up tires, adjusting brakes, or tightening a loose seat.
The tools are attached to the stand with cables, so they stay available for everyone; please don't remove them. There's also a free air pump. If you're not sure how to fix something, we've put up a simple illustrated guide, and there are short video tutorials linked by a code you can scan with your phone. For more serious repairs, the guide lists local bike shops that offer a student discount. We hope this makes cycling to campus easier and cheaper for everyone. Remember to always lock your bike in the designated racks. Thank you.</x:v>
      </x:c>
      <x:c r="R44" s="15" t="str">
        <x:v>Good morning everyone. This is an announcement about the university's new bike repair station, which opens this week near the main entrance. As part of our effort to encourage cycling, the station provides free tools that any student or staff member can use to make basic repairs to their bicycle. Things like pumping up tires, adjusting brakes, or tightening a loose seat. The tools are attached to the stand with cables, so they stay available for everyone. please don't remove them. There's also a free air pump. If you're not sure how to fix something, we've put up a simple illustrated guide, and there are short video tutorials linked by a code you can scan with your phone. For more serious repairs, the guide lists local bike shops that offer a student discount. We hope this makes cycling to campus easier and cheaper for everyone. Remember to always lock your bike in the designated racks. Thank you!</x:v>
      </x:c>
      <x:c r="S44" s="15" t="str">
        <x:v>none</x:v>
      </x:c>
      <x:c r="T44" s="15" t="str">
        <x:v>source_contract_preserved_subject_to_T08</x:v>
      </x:c>
      <x:c r="U44" s="15" t="str">
        <x:v>C_linguistic_segment_or_reframe_candidate</x:v>
      </x:c>
      <x:c r="V44" s="16" t="str">
        <x:v>not_started</x:v>
      </x:c>
      <x:c r="W44" s="16"/>
      <x:c r="X44" s="16"/>
      <x:c r="Y44" s="16"/>
      <x:c r="Z44" s="16"/>
      <x:c r="AA44" s="16"/>
      <x:c r="AB44" s="16"/>
      <x:c r="AC44" s="16"/>
      <x:c r="AD44" s="16"/>
      <x:c r="AE44" s="16"/>
      <x:c r="AF44" s="16"/>
      <x:c r="AG44" s="16"/>
      <x:c r="AH44" s="16"/>
      <x:c r="AI44" s="16"/>
      <x:c r="AJ44" s="16"/>
      <x:c r="AK44" s="16"/>
      <x:c r="AL44" s="16"/>
      <x:c r="AM44" s="16"/>
      <x:c r="AN44" s="16"/>
      <x:c r="AO44" s="16"/>
      <x:c r="AP44" s="16"/>
      <x:c r="AQ44" s="16"/>
      <x:c r="AR44" s="16"/>
      <x:c r="AS44" s="16"/>
      <x:c r="AT44" s="20"/>
      <x:c r="AU44" s="16"/>
      <x:c r="AV44" s="16"/>
      <x:c r="AW44" s="16" t="str">
        <x:v>pending</x:v>
      </x:c>
      <x:c r="AX44" s="17" t="str">
        <x:v>blocked_not_validated</x:v>
      </x:c>
      <x:c r="AY44" s="18" t="str">
        <x:f>IF(OR(C44="yes",X44="corrected",COUNTIF(Z44:AL44,"major")&gt;0,COUNTIF(Z44:AL44,"blocker")&gt;0,OR(AO44="repair",AO44="segment",AO44="replace",AO44="block")),"yes","no")</x:f>
        <x:v>no</x:v>
      </x:c>
      <x:c r="AZ44" s="18" t="str">
        <x:f>IF(AND(V44="reviewed",W44&gt;=1,X44&lt;&gt;"",Y44&lt;&gt;"",COUNTA(Z44:AL44)=13,AM44&lt;&gt;"",AN44&lt;&gt;"",AO44&lt;&gt;"",AP44&lt;&gt;"",AQ44&lt;&gt;"",AR44&lt;&gt;"",AS44="I_listened_at_1x_and_completed_all_required_fields",AT44&lt;&gt;"",AW44="adjudicated",OR(AY44="no",AND(AU44&lt;&gt;"",AV44&lt;&gt;""))),"complete","incomplete")</x:f>
        <x:v>incomplete</x:v>
      </x:c>
      <x:c r="BA44" s="18" t="str">
        <x:f>IF(AZ44="complete","none","faltan campos humanos, adjudicación o segunda revisión")</x:f>
        <x:v>faltan campos humanos, adjudicación o segunda revisión</x:v>
      </x:c>
    </x:row>
    <x:row r="45" ht="36" customHeight="1">
      <x:c r="A45" s="15" t="n">
        <x:v>44</x:v>
      </x:c>
      <x:c r="B45" s="15" t="str">
        <x:v>P1-LONG</x:v>
      </x:c>
      <x:c r="C45" s="15" t="str">
        <x:v>no</x:v>
      </x:c>
      <x:c r="D45" s="15" t="str">
        <x:v>asset:toefl:set-4:part-8:academic-talk</x:v>
      </x:c>
      <x:c r="E45" s="15" t="str">
        <x:v>set-4</x:v>
      </x:c>
      <x:c r="F45" s="15" t="str">
        <x:v>Listen to an Academic Talk</x:v>
      </x:c>
      <x:c r="G45" s="15" t="str">
        <x:v>/Users/josedavidduartesilva/Developer/idiomaswl/public/audio/toefl/set-4/academic-talk.mp3</x:v>
      </x:c>
      <x:c r="H45" s="19" t="n">
        <x:v>133.14</x:v>
      </x:c>
      <x:c r="I45" s="15" t="str">
        <x:v>P1</x:v>
      </x:c>
      <x:c r="J45" s="15" t="str">
        <x:v>100_percent_required_T08_T15</x:v>
      </x:c>
      <x:c r="K45" s="15" t="str">
        <x:v>fail_actionable</x:v>
      </x:c>
      <x:c r="L45" s="15" t="str">
        <x:v>TECH-LDN-002</x:v>
      </x:c>
      <x:c r="M45" s="15" t="str">
        <x:v>none</x:v>
      </x:c>
      <x:c r="N45" s="15" t="str">
        <x:v>measure_gain_create_versioned_normalized_variant</x:v>
      </x:c>
      <x:c r="O45" s="15" t="str">
        <x:v>source_material_diff_pending_human</x:v>
      </x:c>
      <x:c r="P45" s="15" t="str">
        <x:v>LING-DIFF-001;LING-CRIT-001;TECH-T06-FAIL;LING-LEN-002</x:v>
      </x:c>
      <x:c r="Q45" s="15" t="str">
        <x:v>PROFESSOR: Today I want to discuss a striking idea about how we make decisions. We like to think of ourselves as rational — that we carefully weigh the evidence and choose the best option. But decades of research in psychology suggest that much of our thinking relies on mental shortcuts, which psychologists call "heuristics." These shortcuts are usually helpful, letting us make quick judgments without exhausting effort. But they can also lead us into systematic errors, or "biases."
Let me give you one well-known example: the availability heuristic. This is our tendency to judge how likely something is by how easily examples come to mind. If examples are easy to recall, we assume the thing is common; if they're hard to recall, we assume it's rare. Often this works fine. But it can badly mislead us. For instance, after seeing dramatic news coverage of a plane crash, many people overestimate the danger of flying, even though, statistically, flying is far safer than driving. The vivid, memorable images of the crash are "available" in memory, so the risk feels bigger than it is.
Why do we have these shortcuts if they can mislead us? The answer is that for most of human history, and in most everyday situations, they serve us well. Quick, "good enough" judgments were often more valuable than slow, perfect calculations — especially when a fast decision could mean survival. The shortcuts are the product of a mind built for efficiency, not for statistical accuracy.
The practical value of understanding heuristics is this: once you know about a bias, you can sometimes correct for it. If you catch yourself judging a risk based on a scary headline, you can pause and ask, "What do the actual numbers say?" You won't eliminate these biases — they're too deeply built in — but awareness gives you a chance to override them when the stakes are high. In short, knowing how your mind takes shortcuts is the first step toward thinking more clearly.</x:v>
      </x:c>
      <x:c r="R45" s="15" t="str">
        <x:v>Today I want to discuss a striking idea about how we make decisions. We like to think of ourselves as rational, that we carefully weigh the evidence and choose the best option. But decades of research in psychology suggest that much of our thinking relies on mental shortcuts, which psychologists call heuristics. These shortcuts are usually helpful, letting us make quick judgments without exhausting effort. also lead us into systematic errors or biases. Let me give you one well-known example, the availability heuristic. This is our tendency to judge how likely something is by how easily examples come to mind. If examples are easy to recall, we assume the thing is common. If they're hard to recall, we assume it's rare. Often this works fine, but it can badly mislead us. For instance, after seeing dramatic news coverage of a plane crash, many people overestimate the danger of flying, even though statistically, flying is far safer than driving. The vivid, memorable images of the crash are available in memory, so the risk feels bigger than it is. Why do we have these shortcuts if they can mislead us? The answer is that for most of human history and in most everyday situations, they serve us well. Quick, good enough, judgments were often more valuable than slow, perfect calculations, especially when a fast decision could mean survival. The shortcuts are the product of a mind built for efficiency, not for statistical accuracy. The practical value of understanding heuristics is this. Once you know about a bias, you can sometimes correct for it. If you catch yourself judging a risk based on a scary headline, you can pause and ask, what do the actual numbers say? You won't eliminate these biases, they're too deeply built in. But awareness gives you a chance to override them when the stakes are high. In short, knowing how your mind takes shortcuts is the first step toward thinking more clearly.</x:v>
      </x:c>
      <x:c r="S45" s="15" t="str">
        <x:v>D:but | D:they | D:can</x:v>
      </x:c>
      <x:c r="T45" s="15" t="str">
        <x:v>source_contract_preserved_subject_to_T08</x:v>
      </x:c>
      <x:c r="U45" s="15" t="str">
        <x:v>C_linguistic_segment_or_reframe_candidate</x:v>
      </x:c>
      <x:c r="V45" s="16" t="str">
        <x:v>not_started</x:v>
      </x:c>
      <x:c r="W45" s="16"/>
      <x:c r="X45" s="16"/>
      <x:c r="Y45" s="16"/>
      <x:c r="Z45" s="16"/>
      <x:c r="AA45" s="16"/>
      <x:c r="AB45" s="16"/>
      <x:c r="AC45" s="16"/>
      <x:c r="AD45" s="16"/>
      <x:c r="AE45" s="16"/>
      <x:c r="AF45" s="16"/>
      <x:c r="AG45" s="16"/>
      <x:c r="AH45" s="16"/>
      <x:c r="AI45" s="16"/>
      <x:c r="AJ45" s="16"/>
      <x:c r="AK45" s="16"/>
      <x:c r="AL45" s="16"/>
      <x:c r="AM45" s="16"/>
      <x:c r="AN45" s="16"/>
      <x:c r="AO45" s="16"/>
      <x:c r="AP45" s="16"/>
      <x:c r="AQ45" s="16"/>
      <x:c r="AR45" s="16"/>
      <x:c r="AS45" s="16"/>
      <x:c r="AT45" s="20"/>
      <x:c r="AU45" s="16"/>
      <x:c r="AV45" s="16"/>
      <x:c r="AW45" s="16" t="str">
        <x:v>pending</x:v>
      </x:c>
      <x:c r="AX45" s="17" t="str">
        <x:v>blocked_not_validated</x:v>
      </x:c>
      <x:c r="AY45" s="18" t="str">
        <x:f>IF(OR(C45="yes",X45="corrected",COUNTIF(Z45:AL45,"major")&gt;0,COUNTIF(Z45:AL45,"blocker")&gt;0,OR(AO45="repair",AO45="segment",AO45="replace",AO45="block")),"yes","no")</x:f>
        <x:v>no</x:v>
      </x:c>
      <x:c r="AZ45" s="18" t="str">
        <x:f>IF(AND(V45="reviewed",W45&gt;=1,X45&lt;&gt;"",Y45&lt;&gt;"",COUNTA(Z45:AL45)=13,AM45&lt;&gt;"",AN45&lt;&gt;"",AO45&lt;&gt;"",AP45&lt;&gt;"",AQ45&lt;&gt;"",AR45&lt;&gt;"",AS45="I_listened_at_1x_and_completed_all_required_fields",AT45&lt;&gt;"",AW45="adjudicated",OR(AY45="no",AND(AU45&lt;&gt;"",AV45&lt;&gt;""))),"complete","incomplete")</x:f>
        <x:v>incomplete</x:v>
      </x:c>
      <x:c r="BA45" s="18" t="str">
        <x:f>IF(AZ45="complete","none","faltan campos humanos, adjudicación o segunda revisión")</x:f>
        <x:v>faltan campos humanos, adjudicación o segunda revisión</x:v>
      </x:c>
    </x:row>
    <x:row r="46" ht="36" customHeight="1">
      <x:c r="A46" s="15" t="n">
        <x:v>45</x:v>
      </x:c>
      <x:c r="B46" s="15" t="str">
        <x:v>P1-REPEAT</x:v>
      </x:c>
      <x:c r="C46" s="15" t="str">
        <x:v>no</x:v>
      </x:c>
      <x:c r="D46" s="15" t="str">
        <x:v>asset:toefl:set-4:part-12:repeat-1</x:v>
      </x:c>
      <x:c r="E46" s="15" t="str">
        <x:v>set-4</x:v>
      </x:c>
      <x:c r="F46" s="15" t="str">
        <x:v>Listen and Repeat</x:v>
      </x:c>
      <x:c r="G46" s="15" t="str">
        <x:v>/Users/josedavidduartesilva/Developer/idiomaswl/public/audio/toefl/set-4/repeat-1.mp3</x:v>
      </x:c>
      <x:c r="H46" s="19" t="n">
        <x:v>2.02</x:v>
      </x:c>
      <x:c r="I46" s="15" t="str">
        <x:v>P1</x:v>
      </x:c>
      <x:c r="J46" s="15" t="str">
        <x:v>100_percent_required_T08</x:v>
      </x:c>
      <x:c r="K46" s="15" t="str">
        <x:v>fail_actionable</x:v>
      </x:c>
      <x:c r="L46" s="15" t="str">
        <x:v>TECH-LDN-002</x:v>
      </x:c>
      <x:c r="M46" s="15" t="str">
        <x:v>none</x:v>
      </x:c>
      <x:c r="N46" s="15" t="str">
        <x:v>measure_gain_create_versioned_normalized_variant</x:v>
      </x:c>
      <x:c r="O46" s="15" t="str">
        <x:v>source_material_diff_pending_human</x:v>
      </x:c>
      <x:c r="P46" s="15" t="str">
        <x:v>LING-DIFF-001;TECH-T06-FAIL</x:v>
      </x:c>
      <x:c r="Q46" s="15" t="str">
        <x:v>The meeting starts at ten.</x:v>
      </x:c>
      <x:c r="R46" s="15" t="str">
        <x:v>The meaning starts at 10.</x:v>
      </x:c>
      <x:c r="S46" s="15" t="str">
        <x:v>S:meeting→meaning</x:v>
      </x:c>
      <x:c r="T46" s="15" t="str">
        <x:v>source_contract_preserved_subject_to_T08</x:v>
      </x:c>
      <x:c r="U46" s="15" t="str">
        <x:v>B_linguistic_adjudication_or_repair_candidate</x:v>
      </x:c>
      <x:c r="V46" s="16" t="str">
        <x:v>not_started</x:v>
      </x:c>
      <x:c r="W46" s="16"/>
      <x:c r="X46" s="16"/>
      <x:c r="Y46" s="16"/>
      <x:c r="Z46" s="16"/>
      <x:c r="AA46" s="16"/>
      <x:c r="AB46" s="16"/>
      <x:c r="AC46" s="16"/>
      <x:c r="AD46" s="16"/>
      <x:c r="AE46" s="16"/>
      <x:c r="AF46" s="16"/>
      <x:c r="AG46" s="16"/>
      <x:c r="AH46" s="16"/>
      <x:c r="AI46" s="16"/>
      <x:c r="AJ46" s="16"/>
      <x:c r="AK46" s="16"/>
      <x:c r="AL46" s="16"/>
      <x:c r="AM46" s="16"/>
      <x:c r="AN46" s="16"/>
      <x:c r="AO46" s="16"/>
      <x:c r="AP46" s="16"/>
      <x:c r="AQ46" s="16"/>
      <x:c r="AR46" s="16"/>
      <x:c r="AS46" s="16"/>
      <x:c r="AT46" s="20"/>
      <x:c r="AU46" s="16"/>
      <x:c r="AV46" s="16"/>
      <x:c r="AW46" s="16" t="str">
        <x:v>pending</x:v>
      </x:c>
      <x:c r="AX46" s="17" t="str">
        <x:v>blocked_not_validated</x:v>
      </x:c>
      <x:c r="AY46" s="18" t="str">
        <x:f>IF(OR(C46="yes",X46="corrected",COUNTIF(Z46:AL46,"major")&gt;0,COUNTIF(Z46:AL46,"blocker")&gt;0,OR(AO46="repair",AO46="segment",AO46="replace",AO46="block")),"yes","no")</x:f>
        <x:v>no</x:v>
      </x:c>
      <x:c r="AZ46" s="18" t="str">
        <x:f>IF(AND(V46="reviewed",W46&gt;=1,X46&lt;&gt;"",Y46&lt;&gt;"",COUNTA(Z46:AL46)=13,AM46&lt;&gt;"",AN46&lt;&gt;"",AO46&lt;&gt;"",AP46&lt;&gt;"",AQ46&lt;&gt;"",AR46&lt;&gt;"",AS46="I_listened_at_1x_and_completed_all_required_fields",AT46&lt;&gt;"",AW46="adjudicated",OR(AY46="no",AND(AU46&lt;&gt;"",AV46&lt;&gt;""))),"complete","incomplete")</x:f>
        <x:v>incomplete</x:v>
      </x:c>
      <x:c r="BA46" s="18" t="str">
        <x:f>IF(AZ46="complete","none","faltan campos humanos, adjudicación o segunda revisión")</x:f>
        <x:v>faltan campos humanos, adjudicación o segunda revisión</x:v>
      </x:c>
    </x:row>
    <x:row r="47" ht="36" customHeight="1">
      <x:c r="A47" s="15" t="n">
        <x:v>46</x:v>
      </x:c>
      <x:c r="B47" s="15" t="str">
        <x:v>P1-CHOOSE</x:v>
      </x:c>
      <x:c r="C47" s="15" t="str">
        <x:v>no</x:v>
      </x:c>
      <x:c r="D47" s="15" t="str">
        <x:v>asset:toefl:set-5:part-5:listen-choose-1</x:v>
      </x:c>
      <x:c r="E47" s="15" t="str">
        <x:v>set-5</x:v>
      </x:c>
      <x:c r="F47" s="15" t="str">
        <x:v>Listen and Choose a Response</x:v>
      </x:c>
      <x:c r="G47" s="15" t="str">
        <x:v>/Users/josedavidduartesilva/Developer/idiomaswl/public/audio/toefl/set-5/listen-choose-1.mp3</x:v>
      </x:c>
      <x:c r="H47" s="19" t="n">
        <x:v>3.3</x:v>
      </x:c>
      <x:c r="I47" s="15" t="str">
        <x:v>P1</x:v>
      </x:c>
      <x:c r="J47" s="15" t="str">
        <x:v>100_percent_required_T08</x:v>
      </x:c>
      <x:c r="K47" s="15" t="str">
        <x:v>pass_automated_T06</x:v>
      </x:c>
      <x:c r="L47" s="15" t="str">
        <x:v>none</x:v>
      </x:c>
      <x:c r="M47" s="15" t="str">
        <x:v>none</x:v>
      </x:c>
      <x:c r="N47" s="15" t="str">
        <x:v>conserve_source_technical_candidate</x:v>
      </x:c>
      <x:c r="O47" s="15" t="str">
        <x:v>asr_candidate_recovered_pending_human</x:v>
      </x:c>
      <x:c r="P47" s="15" t="str">
        <x:v>LING-SOURCE-001;LING-STRESS-001</x:v>
      </x:c>
      <x:c r="Q47" s="15" t="str"/>
      <x:c r="R47" s="15" t="str">
        <x:v>Excuse me, could you tell me which room the meeting is in?</x:v>
      </x:c>
      <x:c r="S47" s="15" t="str">
        <x:v>no_source_candidate</x:v>
      </x:c>
      <x:c r="T47" s="15" t="str">
        <x:v>manual_exchange_review_pass_pending_T08</x:v>
      </x:c>
      <x:c r="U47" s="15" t="str">
        <x:v>B_transcript_adjudication_candidate</x:v>
      </x:c>
      <x:c r="V47" s="16" t="str">
        <x:v>not_started</x:v>
      </x:c>
      <x:c r="W47" s="16"/>
      <x:c r="X47" s="16"/>
      <x:c r="Y47" s="16"/>
      <x:c r="Z47" s="16"/>
      <x:c r="AA47" s="16"/>
      <x:c r="AB47" s="16"/>
      <x:c r="AC47" s="16"/>
      <x:c r="AD47" s="16"/>
      <x:c r="AE47" s="16"/>
      <x:c r="AF47" s="16"/>
      <x:c r="AG47" s="16"/>
      <x:c r="AH47" s="16"/>
      <x:c r="AI47" s="16"/>
      <x:c r="AJ47" s="16"/>
      <x:c r="AK47" s="16"/>
      <x:c r="AL47" s="16"/>
      <x:c r="AM47" s="16"/>
      <x:c r="AN47" s="16"/>
      <x:c r="AO47" s="16"/>
      <x:c r="AP47" s="16"/>
      <x:c r="AQ47" s="16"/>
      <x:c r="AR47" s="16"/>
      <x:c r="AS47" s="16"/>
      <x:c r="AT47" s="20"/>
      <x:c r="AU47" s="16"/>
      <x:c r="AV47" s="16"/>
      <x:c r="AW47" s="16" t="str">
        <x:v>pending</x:v>
      </x:c>
      <x:c r="AX47" s="17" t="str">
        <x:v>blocked_not_validated</x:v>
      </x:c>
      <x:c r="AY47" s="18" t="str">
        <x:f>IF(OR(C47="yes",X47="corrected",COUNTIF(Z47:AL47,"major")&gt;0,COUNTIF(Z47:AL47,"blocker")&gt;0,OR(AO47="repair",AO47="segment",AO47="replace",AO47="block")),"yes","no")</x:f>
        <x:v>no</x:v>
      </x:c>
      <x:c r="AZ47" s="18" t="str">
        <x:f>IF(AND(V47="reviewed",W47&gt;=1,X47&lt;&gt;"",Y47&lt;&gt;"",COUNTA(Z47:AL47)=13,AM47&lt;&gt;"",AN47&lt;&gt;"",AO47&lt;&gt;"",AP47&lt;&gt;"",AQ47&lt;&gt;"",AR47&lt;&gt;"",AS47="I_listened_at_1x_and_completed_all_required_fields",AT47&lt;&gt;"",AW47="adjudicated",OR(AY47="no",AND(AU47&lt;&gt;"",AV47&lt;&gt;""))),"complete","incomplete")</x:f>
        <x:v>incomplete</x:v>
      </x:c>
      <x:c r="BA47" s="18" t="str">
        <x:f>IF(AZ47="complete","none","faltan campos humanos, adjudicación o segunda revisión")</x:f>
        <x:v>faltan campos humanos, adjudicación o segunda revisión</x:v>
      </x:c>
    </x:row>
    <x:row r="48" ht="36" customHeight="1">
      <x:c r="A48" s="15" t="n">
        <x:v>47</x:v>
      </x:c>
      <x:c r="B48" s="15" t="str">
        <x:v>P1-CHOOSE</x:v>
      </x:c>
      <x:c r="C48" s="15" t="str">
        <x:v>no</x:v>
      </x:c>
      <x:c r="D48" s="15" t="str">
        <x:v>asset:toefl:set-5:part-5:listen-choose-2</x:v>
      </x:c>
      <x:c r="E48" s="15" t="str">
        <x:v>set-5</x:v>
      </x:c>
      <x:c r="F48" s="15" t="str">
        <x:v>Listen and Choose a Response</x:v>
      </x:c>
      <x:c r="G48" s="15" t="str">
        <x:v>/Users/josedavidduartesilva/Developer/idiomaswl/public/audio/toefl/set-5/listen-choose-2.mp3</x:v>
      </x:c>
      <x:c r="H48" s="19" t="n">
        <x:v>2.82</x:v>
      </x:c>
      <x:c r="I48" s="15" t="str">
        <x:v>P1</x:v>
      </x:c>
      <x:c r="J48" s="15" t="str">
        <x:v>100_percent_required_T08</x:v>
      </x:c>
      <x:c r="K48" s="15" t="str">
        <x:v>fail_actionable</x:v>
      </x:c>
      <x:c r="L48" s="15" t="str">
        <x:v>TECH-SIL-002;TECH-LDN-002</x:v>
      </x:c>
      <x:c r="M48" s="15" t="str">
        <x:v>none</x:v>
      </x:c>
      <x:c r="N48" s="15" t="str">
        <x:v>measure_gain_create_versioned_normalized_variant;review_edges_create_versioned_trim_variant</x:v>
      </x:c>
      <x:c r="O48" s="15" t="str">
        <x:v>asr_candidate_recovered_pending_human</x:v>
      </x:c>
      <x:c r="P48" s="15" t="str">
        <x:v>LING-SOURCE-001;TECH-T06-FAIL;LING-STRESS-001</x:v>
      </x:c>
      <x:c r="Q48" s="15" t="str"/>
      <x:c r="R48" s="15" t="str">
        <x:v>Would you like to come to the concert with me tonight?</x:v>
      </x:c>
      <x:c r="S48" s="15" t="str">
        <x:v>no_source_candidate</x:v>
      </x:c>
      <x:c r="T48" s="15" t="str">
        <x:v>manual_exchange_review_pass_pending_T08</x:v>
      </x:c>
      <x:c r="U48" s="15" t="str">
        <x:v>B_transcript_adjudication_candidate</x:v>
      </x:c>
      <x:c r="V48" s="16" t="str">
        <x:v>not_started</x:v>
      </x:c>
      <x:c r="W48" s="16"/>
      <x:c r="X48" s="16"/>
      <x:c r="Y48" s="16"/>
      <x:c r="Z48" s="16"/>
      <x:c r="AA48" s="16"/>
      <x:c r="AB48" s="16"/>
      <x:c r="AC48" s="16"/>
      <x:c r="AD48" s="16"/>
      <x:c r="AE48" s="16"/>
      <x:c r="AF48" s="16"/>
      <x:c r="AG48" s="16"/>
      <x:c r="AH48" s="16"/>
      <x:c r="AI48" s="16"/>
      <x:c r="AJ48" s="16"/>
      <x:c r="AK48" s="16"/>
      <x:c r="AL48" s="16"/>
      <x:c r="AM48" s="16"/>
      <x:c r="AN48" s="16"/>
      <x:c r="AO48" s="16"/>
      <x:c r="AP48" s="16"/>
      <x:c r="AQ48" s="16"/>
      <x:c r="AR48" s="16"/>
      <x:c r="AS48" s="16"/>
      <x:c r="AT48" s="20"/>
      <x:c r="AU48" s="16"/>
      <x:c r="AV48" s="16"/>
      <x:c r="AW48" s="16" t="str">
        <x:v>pending</x:v>
      </x:c>
      <x:c r="AX48" s="17" t="str">
        <x:v>blocked_not_validated</x:v>
      </x:c>
      <x:c r="AY48" s="18" t="str">
        <x:f>IF(OR(C48="yes",X48="corrected",COUNTIF(Z48:AL48,"major")&gt;0,COUNTIF(Z48:AL48,"blocker")&gt;0,OR(AO48="repair",AO48="segment",AO48="replace",AO48="block")),"yes","no")</x:f>
        <x:v>no</x:v>
      </x:c>
      <x:c r="AZ48" s="18" t="str">
        <x:f>IF(AND(V48="reviewed",W48&gt;=1,X48&lt;&gt;"",Y48&lt;&gt;"",COUNTA(Z48:AL48)=13,AM48&lt;&gt;"",AN48&lt;&gt;"",AO48&lt;&gt;"",AP48&lt;&gt;"",AQ48&lt;&gt;"",AR48&lt;&gt;"",AS48="I_listened_at_1x_and_completed_all_required_fields",AT48&lt;&gt;"",AW48="adjudicated",OR(AY48="no",AND(AU48&lt;&gt;"",AV48&lt;&gt;""))),"complete","incomplete")</x:f>
        <x:v>incomplete</x:v>
      </x:c>
      <x:c r="BA48" s="18" t="str">
        <x:f>IF(AZ48="complete","none","faltan campos humanos, adjudicación o segunda revisión")</x:f>
        <x:v>faltan campos humanos, adjudicación o segunda revisión</x:v>
      </x:c>
    </x:row>
    <x:row r="49" ht="36" customHeight="1">
      <x:c r="A49" s="15" t="n">
        <x:v>48</x:v>
      </x:c>
      <x:c r="B49" s="15" t="str">
        <x:v>P1-CHOOSE</x:v>
      </x:c>
      <x:c r="C49" s="15" t="str">
        <x:v>no</x:v>
      </x:c>
      <x:c r="D49" s="15" t="str">
        <x:v>asset:toefl:set-5:part-5:listen-choose-3</x:v>
      </x:c>
      <x:c r="E49" s="15" t="str">
        <x:v>set-5</x:v>
      </x:c>
      <x:c r="F49" s="15" t="str">
        <x:v>Listen and Choose a Response</x:v>
      </x:c>
      <x:c r="G49" s="15" t="str">
        <x:v>/Users/josedavidduartesilva/Developer/idiomaswl/public/audio/toefl/set-5/listen-choose-3.mp3</x:v>
      </x:c>
      <x:c r="H49" s="19" t="n">
        <x:v>2.58</x:v>
      </x:c>
      <x:c r="I49" s="15" t="str">
        <x:v>P1</x:v>
      </x:c>
      <x:c r="J49" s="15" t="str">
        <x:v>100_percent_required_T08</x:v>
      </x:c>
      <x:c r="K49" s="15" t="str">
        <x:v>pass_with_actionable_warning</x:v>
      </x:c>
      <x:c r="L49" s="15" t="str">
        <x:v>none</x:v>
      </x:c>
      <x:c r="M49" s="15" t="str">
        <x:v>TECH-LDN-003</x:v>
      </x:c>
      <x:c r="N49" s="15" t="str">
        <x:v>review_warning_in_T08_before_conserve</x:v>
      </x:c>
      <x:c r="O49" s="15" t="str">
        <x:v>asr_candidate_recovered_pending_human</x:v>
      </x:c>
      <x:c r="P49" s="15" t="str">
        <x:v>LING-SOURCE-001;LING-STRESS-001</x:v>
      </x:c>
      <x:c r="Q49" s="15" t="str"/>
      <x:c r="R49" s="15" t="str">
        <x:v>Do you know where I can find the grammar textbook?</x:v>
      </x:c>
      <x:c r="S49" s="15" t="str">
        <x:v>no_source_candidate</x:v>
      </x:c>
      <x:c r="T49" s="15" t="str">
        <x:v>manual_exchange_review_pass_pending_T08</x:v>
      </x:c>
      <x:c r="U49" s="15" t="str">
        <x:v>B_transcript_adjudication_candidate</x:v>
      </x:c>
      <x:c r="V49" s="16" t="str">
        <x:v>not_started</x:v>
      </x:c>
      <x:c r="W49" s="16"/>
      <x:c r="X49" s="16"/>
      <x:c r="Y49" s="16"/>
      <x:c r="Z49" s="16"/>
      <x:c r="AA49" s="16"/>
      <x:c r="AB49" s="16"/>
      <x:c r="AC49" s="16"/>
      <x:c r="AD49" s="16"/>
      <x:c r="AE49" s="16"/>
      <x:c r="AF49" s="16"/>
      <x:c r="AG49" s="16"/>
      <x:c r="AH49" s="16"/>
      <x:c r="AI49" s="16"/>
      <x:c r="AJ49" s="16"/>
      <x:c r="AK49" s="16"/>
      <x:c r="AL49" s="16"/>
      <x:c r="AM49" s="16"/>
      <x:c r="AN49" s="16"/>
      <x:c r="AO49" s="16"/>
      <x:c r="AP49" s="16"/>
      <x:c r="AQ49" s="16"/>
      <x:c r="AR49" s="16"/>
      <x:c r="AS49" s="16"/>
      <x:c r="AT49" s="20"/>
      <x:c r="AU49" s="16"/>
      <x:c r="AV49" s="16"/>
      <x:c r="AW49" s="16" t="str">
        <x:v>pending</x:v>
      </x:c>
      <x:c r="AX49" s="17" t="str">
        <x:v>blocked_not_validated</x:v>
      </x:c>
      <x:c r="AY49" s="18" t="str">
        <x:f>IF(OR(C49="yes",X49="corrected",COUNTIF(Z49:AL49,"major")&gt;0,COUNTIF(Z49:AL49,"blocker")&gt;0,OR(AO49="repair",AO49="segment",AO49="replace",AO49="block")),"yes","no")</x:f>
        <x:v>no</x:v>
      </x:c>
      <x:c r="AZ49" s="18" t="str">
        <x:f>IF(AND(V49="reviewed",W49&gt;=1,X49&lt;&gt;"",Y49&lt;&gt;"",COUNTA(Z49:AL49)=13,AM49&lt;&gt;"",AN49&lt;&gt;"",AO49&lt;&gt;"",AP49&lt;&gt;"",AQ49&lt;&gt;"",AR49&lt;&gt;"",AS49="I_listened_at_1x_and_completed_all_required_fields",AT49&lt;&gt;"",AW49="adjudicated",OR(AY49="no",AND(AU49&lt;&gt;"",AV49&lt;&gt;""))),"complete","incomplete")</x:f>
        <x:v>incomplete</x:v>
      </x:c>
      <x:c r="BA49" s="18" t="str">
        <x:f>IF(AZ49="complete","none","faltan campos humanos, adjudicación o segunda revisión")</x:f>
        <x:v>faltan campos humanos, adjudicación o segunda revisión</x:v>
      </x:c>
    </x:row>
    <x:row r="50" ht="36" customHeight="1">
      <x:c r="A50" s="15" t="n">
        <x:v>49</x:v>
      </x:c>
      <x:c r="B50" s="15" t="str">
        <x:v>P1-CHOOSE</x:v>
      </x:c>
      <x:c r="C50" s="15" t="str">
        <x:v>no</x:v>
      </x:c>
      <x:c r="D50" s="15" t="str">
        <x:v>asset:toefl:set-5:part-5:listen-choose-4</x:v>
      </x:c>
      <x:c r="E50" s="15" t="str">
        <x:v>set-5</x:v>
      </x:c>
      <x:c r="F50" s="15" t="str">
        <x:v>Listen and Choose a Response</x:v>
      </x:c>
      <x:c r="G50" s="15" t="str">
        <x:v>/Users/josedavidduartesilva/Developer/idiomaswl/public/audio/toefl/set-5/listen-choose-4.mp3</x:v>
      </x:c>
      <x:c r="H50" s="19" t="n">
        <x:v>3.78</x:v>
      </x:c>
      <x:c r="I50" s="15" t="str">
        <x:v>P1</x:v>
      </x:c>
      <x:c r="J50" s="15" t="str">
        <x:v>100_percent_required_T08</x:v>
      </x:c>
      <x:c r="K50" s="15" t="str">
        <x:v>pass_automated_T06</x:v>
      </x:c>
      <x:c r="L50" s="15" t="str">
        <x:v>none</x:v>
      </x:c>
      <x:c r="M50" s="15" t="str">
        <x:v>none</x:v>
      </x:c>
      <x:c r="N50" s="15" t="str">
        <x:v>conserve_source_technical_candidate</x:v>
      </x:c>
      <x:c r="O50" s="15" t="str">
        <x:v>asr_candidate_recovered_pending_human</x:v>
      </x:c>
      <x:c r="P50" s="15" t="str">
        <x:v>LING-SOURCE-001;LING-STRESS-001</x:v>
      </x:c>
      <x:c r="Q50" s="15" t="str"/>
      <x:c r="R50" s="15" t="str">
        <x:v>Maybe we should change our research topic. What do you think?</x:v>
      </x:c>
      <x:c r="S50" s="15" t="str">
        <x:v>no_source_candidate</x:v>
      </x:c>
      <x:c r="T50" s="15" t="str">
        <x:v>manual_exchange_review_pass_pending_T08</x:v>
      </x:c>
      <x:c r="U50" s="15" t="str">
        <x:v>B_transcript_adjudication_candidate</x:v>
      </x:c>
      <x:c r="V50" s="16" t="str">
        <x:v>not_started</x:v>
      </x:c>
      <x:c r="W50" s="16"/>
      <x:c r="X50" s="16"/>
      <x:c r="Y50" s="16"/>
      <x:c r="Z50" s="16"/>
      <x:c r="AA50" s="16"/>
      <x:c r="AB50" s="16"/>
      <x:c r="AC50" s="16"/>
      <x:c r="AD50" s="16"/>
      <x:c r="AE50" s="16"/>
      <x:c r="AF50" s="16"/>
      <x:c r="AG50" s="16"/>
      <x:c r="AH50" s="16"/>
      <x:c r="AI50" s="16"/>
      <x:c r="AJ50" s="16"/>
      <x:c r="AK50" s="16"/>
      <x:c r="AL50" s="16"/>
      <x:c r="AM50" s="16"/>
      <x:c r="AN50" s="16"/>
      <x:c r="AO50" s="16"/>
      <x:c r="AP50" s="16"/>
      <x:c r="AQ50" s="16"/>
      <x:c r="AR50" s="16"/>
      <x:c r="AS50" s="16"/>
      <x:c r="AT50" s="20"/>
      <x:c r="AU50" s="16"/>
      <x:c r="AV50" s="16"/>
      <x:c r="AW50" s="16" t="str">
        <x:v>pending</x:v>
      </x:c>
      <x:c r="AX50" s="17" t="str">
        <x:v>blocked_not_validated</x:v>
      </x:c>
      <x:c r="AY50" s="18" t="str">
        <x:f>IF(OR(C50="yes",X50="corrected",COUNTIF(Z50:AL50,"major")&gt;0,COUNTIF(Z50:AL50,"blocker")&gt;0,OR(AO50="repair",AO50="segment",AO50="replace",AO50="block")),"yes","no")</x:f>
        <x:v>no</x:v>
      </x:c>
      <x:c r="AZ50" s="18" t="str">
        <x:f>IF(AND(V50="reviewed",W50&gt;=1,X50&lt;&gt;"",Y50&lt;&gt;"",COUNTA(Z50:AL50)=13,AM50&lt;&gt;"",AN50&lt;&gt;"",AO50&lt;&gt;"",AP50&lt;&gt;"",AQ50&lt;&gt;"",AR50&lt;&gt;"",AS50="I_listened_at_1x_and_completed_all_required_fields",AT50&lt;&gt;"",AW50="adjudicated",OR(AY50="no",AND(AU50&lt;&gt;"",AV50&lt;&gt;""))),"complete","incomplete")</x:f>
        <x:v>incomplete</x:v>
      </x:c>
      <x:c r="BA50" s="18" t="str">
        <x:f>IF(AZ50="complete","none","faltan campos humanos, adjudicación o segunda revisión")</x:f>
        <x:v>faltan campos humanos, adjudicación o segunda revisión</x:v>
      </x:c>
    </x:row>
    <x:row r="51" ht="36" customHeight="1">
      <x:c r="A51" s="15" t="n">
        <x:v>50</x:v>
      </x:c>
      <x:c r="B51" s="15" t="str">
        <x:v>P1-CHOOSE</x:v>
      </x:c>
      <x:c r="C51" s="15" t="str">
        <x:v>no</x:v>
      </x:c>
      <x:c r="D51" s="15" t="str">
        <x:v>asset:toefl:set-5:part-5:listen-choose-5</x:v>
      </x:c>
      <x:c r="E51" s="15" t="str">
        <x:v>set-5</x:v>
      </x:c>
      <x:c r="F51" s="15" t="str">
        <x:v>Listen and Choose a Response</x:v>
      </x:c>
      <x:c r="G51" s="15" t="str">
        <x:v>/Users/josedavidduartesilva/Developer/idiomaswl/public/audio/toefl/set-5/listen-choose-5.mp3</x:v>
      </x:c>
      <x:c r="H51" s="19" t="n">
        <x:v>3.62</x:v>
      </x:c>
      <x:c r="I51" s="15" t="str">
        <x:v>P1</x:v>
      </x:c>
      <x:c r="J51" s="15" t="str">
        <x:v>100_percent_required_T08</x:v>
      </x:c>
      <x:c r="K51" s="15" t="str">
        <x:v>pass_automated_T06</x:v>
      </x:c>
      <x:c r="L51" s="15" t="str">
        <x:v>none</x:v>
      </x:c>
      <x:c r="M51" s="15" t="str">
        <x:v>none</x:v>
      </x:c>
      <x:c r="N51" s="15" t="str">
        <x:v>conserve_source_technical_candidate</x:v>
      </x:c>
      <x:c r="O51" s="15" t="str">
        <x:v>asr_candidate_recovered_pending_human</x:v>
      </x:c>
      <x:c r="P51" s="15" t="str">
        <x:v>LING-SOURCE-001;LING-STRESS-001</x:v>
      </x:c>
      <x:c r="Q51" s="15" t="str"/>
      <x:c r="R51" s="15" t="str">
        <x:v>You look exhausted. Did you have any trouble getting here?</x:v>
      </x:c>
      <x:c r="S51" s="15" t="str">
        <x:v>no_source_candidate</x:v>
      </x:c>
      <x:c r="T51" s="15" t="str">
        <x:v>manual_exchange_review_pass_pending_T08</x:v>
      </x:c>
      <x:c r="U51" s="15" t="str">
        <x:v>B_transcript_adjudication_candidate</x:v>
      </x:c>
      <x:c r="V51" s="16" t="str">
        <x:v>not_started</x:v>
      </x:c>
      <x:c r="W51" s="16"/>
      <x:c r="X51" s="16"/>
      <x:c r="Y51" s="16"/>
      <x:c r="Z51" s="16"/>
      <x:c r="AA51" s="16"/>
      <x:c r="AB51" s="16"/>
      <x:c r="AC51" s="16"/>
      <x:c r="AD51" s="16"/>
      <x:c r="AE51" s="16"/>
      <x:c r="AF51" s="16"/>
      <x:c r="AG51" s="16"/>
      <x:c r="AH51" s="16"/>
      <x:c r="AI51" s="16"/>
      <x:c r="AJ51" s="16"/>
      <x:c r="AK51" s="16"/>
      <x:c r="AL51" s="16"/>
      <x:c r="AM51" s="16"/>
      <x:c r="AN51" s="16"/>
      <x:c r="AO51" s="16"/>
      <x:c r="AP51" s="16"/>
      <x:c r="AQ51" s="16"/>
      <x:c r="AR51" s="16"/>
      <x:c r="AS51" s="16"/>
      <x:c r="AT51" s="20"/>
      <x:c r="AU51" s="16"/>
      <x:c r="AV51" s="16"/>
      <x:c r="AW51" s="16" t="str">
        <x:v>pending</x:v>
      </x:c>
      <x:c r="AX51" s="17" t="str">
        <x:v>blocked_not_validated</x:v>
      </x:c>
      <x:c r="AY51" s="18" t="str">
        <x:f>IF(OR(C51="yes",X51="corrected",COUNTIF(Z51:AL51,"major")&gt;0,COUNTIF(Z51:AL51,"blocker")&gt;0,OR(AO51="repair",AO51="segment",AO51="replace",AO51="block")),"yes","no")</x:f>
        <x:v>no</x:v>
      </x:c>
      <x:c r="AZ51" s="18" t="str">
        <x:f>IF(AND(V51="reviewed",W51&gt;=1,X51&lt;&gt;"",Y51&lt;&gt;"",COUNTA(Z51:AL51)=13,AM51&lt;&gt;"",AN51&lt;&gt;"",AO51&lt;&gt;"",AP51&lt;&gt;"",AQ51&lt;&gt;"",AR51&lt;&gt;"",AS51="I_listened_at_1x_and_completed_all_required_fields",AT51&lt;&gt;"",AW51="adjudicated",OR(AY51="no",AND(AU51&lt;&gt;"",AV51&lt;&gt;""))),"complete","incomplete")</x:f>
        <x:v>incomplete</x:v>
      </x:c>
      <x:c r="BA51" s="18" t="str">
        <x:f>IF(AZ51="complete","none","faltan campos humanos, adjudicación o segunda revisión")</x:f>
        <x:v>faltan campos humanos, adjudicación o segunda revisión</x:v>
      </x:c>
    </x:row>
    <x:row r="52" ht="36" customHeight="1">
      <x:c r="A52" s="15" t="n">
        <x:v>51</x:v>
      </x:c>
      <x:c r="B52" s="15" t="str">
        <x:v>P1-LONG</x:v>
      </x:c>
      <x:c r="C52" s="15" t="str">
        <x:v>no</x:v>
      </x:c>
      <x:c r="D52" s="15" t="str">
        <x:v>asset:toefl:set-5:part-6:conversation</x:v>
      </x:c>
      <x:c r="E52" s="15" t="str">
        <x:v>set-5</x:v>
      </x:c>
      <x:c r="F52" s="15" t="str">
        <x:v>Listen to a Conversation</x:v>
      </x:c>
      <x:c r="G52" s="15" t="str">
        <x:v>/Users/josedavidduartesilva/Developer/idiomaswl/public/audio/toefl/set-5/conversation.mp3</x:v>
      </x:c>
      <x:c r="H52" s="19" t="n">
        <x:v>58.56</x:v>
      </x:c>
      <x:c r="I52" s="15" t="str">
        <x:v>P1</x:v>
      </x:c>
      <x:c r="J52" s="15" t="str">
        <x:v>100_percent_required_T08_T15</x:v>
      </x:c>
      <x:c r="K52" s="15" t="str">
        <x:v>pass_with_actionable_warning</x:v>
      </x:c>
      <x:c r="L52" s="15" t="str">
        <x:v>none</x:v>
      </x:c>
      <x:c r="M52" s="15" t="str">
        <x:v>TECH-PEAK-003</x:v>
      </x:c>
      <x:c r="N52" s="15" t="str">
        <x:v>review_warning_in_T08_before_conserve</x:v>
      </x:c>
      <x:c r="O52" s="15" t="str">
        <x:v>source_material_diff_pending_human</x:v>
      </x:c>
      <x:c r="P52" s="15" t="str">
        <x:v>LING-DIFF-001;LING-CRIT-001;LING-LEN-001</x:v>
      </x:c>
      <x:c r="Q52" s="15" t="str">
        <x:v>MALE STUDENT: Hey, did you sign up for the field trip to the marine biology station yet?
FEMALE STUDENT: Not yet. I want to go, but it's on the same Saturday as my part-time job. I'm trying to figure out if I can switch shifts.
MALE STUDENT: Oh, that's tricky. It would be worth it though — Professor Alvarez said we'll actually collect water samples and analyze them in the lab afterward. It counts toward the final project.
FEMALE STUDENT: Wait, it counts toward the project? I didn't realize that. That changes things. How much is it worth?
MALE STUDENT: I think fifteen percent. And if you can't make the trip, you have to write an extra research paper instead, which honestly sounds worse.
FEMALE STUDENT: Definitely worse. Okay, I'll talk to my manager today about swapping shifts. Do you know how we get there?
MALE STUDENT: There's a bus leaving from the science building at seven a.m. You have to reserve a seat by Thursday, though — space is limited.
FEMALE STUDENT: Seven a.m.? That's early. But fine. I'll reserve a seat once I sort out work.</x:v>
      </x:c>
      <x:c r="R52" s="15" t="str">
        <x:v>Hey, did you sign up for the field trip to the marine biology station yet? Not yet. I want to go, but it's on the same Saturday as my part-time job. I'm trying to figure out if I can switch shifts. Oh, that's tricky. It would be worth it, though. Professor Alvarez said we'll actually collect water samples and analyze them in the lab afterward. It counts toward the final project. Wait, it counts toward the project? I didn't realize that. That changes things. How much is it worth? I think 15% and if you can't make the trip, you have to write an extra research paper instead, which, honestly, sounds worse. Definitely worse. Okay, I'll talk to my manager today about swapping shifts. Do you know how we get there? There's a bus leaving from the science building at 7am. You have to reserve a seat by Thursday, though. Space is limited. 7am? That's early. But fine. reserve a seat once I sort out work.</x:v>
      </x:c>
      <x:c r="S52" s="15" t="str">
        <x:v>D:a | S:m→am | D:a | S:m→am | D:i | D:will</x:v>
      </x:c>
      <x:c r="T52" s="15" t="str">
        <x:v>source_contract_preserved_subject_to_T08</x:v>
      </x:c>
      <x:c r="U52" s="15" t="str">
        <x:v>C_linguistic_segment_or_reframe_candidate</x:v>
      </x:c>
      <x:c r="V52" s="16" t="str">
        <x:v>not_started</x:v>
      </x:c>
      <x:c r="W52" s="16"/>
      <x:c r="X52" s="16"/>
      <x:c r="Y52" s="16"/>
      <x:c r="Z52" s="16"/>
      <x:c r="AA52" s="16"/>
      <x:c r="AB52" s="16"/>
      <x:c r="AC52" s="16"/>
      <x:c r="AD52" s="16"/>
      <x:c r="AE52" s="16"/>
      <x:c r="AF52" s="16"/>
      <x:c r="AG52" s="16"/>
      <x:c r="AH52" s="16"/>
      <x:c r="AI52" s="16"/>
      <x:c r="AJ52" s="16"/>
      <x:c r="AK52" s="16"/>
      <x:c r="AL52" s="16"/>
      <x:c r="AM52" s="16"/>
      <x:c r="AN52" s="16"/>
      <x:c r="AO52" s="16"/>
      <x:c r="AP52" s="16"/>
      <x:c r="AQ52" s="16"/>
      <x:c r="AR52" s="16"/>
      <x:c r="AS52" s="16"/>
      <x:c r="AT52" s="20"/>
      <x:c r="AU52" s="16"/>
      <x:c r="AV52" s="16"/>
      <x:c r="AW52" s="16" t="str">
        <x:v>pending</x:v>
      </x:c>
      <x:c r="AX52" s="17" t="str">
        <x:v>blocked_not_validated</x:v>
      </x:c>
      <x:c r="AY52" s="18" t="str">
        <x:f>IF(OR(C52="yes",X52="corrected",COUNTIF(Z52:AL52,"major")&gt;0,COUNTIF(Z52:AL52,"blocker")&gt;0,OR(AO52="repair",AO52="segment",AO52="replace",AO52="block")),"yes","no")</x:f>
        <x:v>no</x:v>
      </x:c>
      <x:c r="AZ52" s="18" t="str">
        <x:f>IF(AND(V52="reviewed",W52&gt;=1,X52&lt;&gt;"",Y52&lt;&gt;"",COUNTA(Z52:AL52)=13,AM52&lt;&gt;"",AN52&lt;&gt;"",AO52&lt;&gt;"",AP52&lt;&gt;"",AQ52&lt;&gt;"",AR52&lt;&gt;"",AS52="I_listened_at_1x_and_completed_all_required_fields",AT52&lt;&gt;"",AW52="adjudicated",OR(AY52="no",AND(AU52&lt;&gt;"",AV52&lt;&gt;""))),"complete","incomplete")</x:f>
        <x:v>incomplete</x:v>
      </x:c>
      <x:c r="BA52" s="18" t="str">
        <x:f>IF(AZ52="complete","none","faltan campos humanos, adjudicación o segunda revisión")</x:f>
        <x:v>faltan campos humanos, adjudicación o segunda revisión</x:v>
      </x:c>
    </x:row>
    <x:row r="53" ht="36" customHeight="1">
      <x:c r="A53" s="15" t="n">
        <x:v>52</x:v>
      </x:c>
      <x:c r="B53" s="15" t="str">
        <x:v>P1-LONG</x:v>
      </x:c>
      <x:c r="C53" s="15" t="str">
        <x:v>no</x:v>
      </x:c>
      <x:c r="D53" s="15" t="str">
        <x:v>asset:toefl:set-5:part-7:announcement</x:v>
      </x:c>
      <x:c r="E53" s="15" t="str">
        <x:v>set-5</x:v>
      </x:c>
      <x:c r="F53" s="15" t="str">
        <x:v>Listen to an Announcement</x:v>
      </x:c>
      <x:c r="G53" s="15" t="str">
        <x:v>/Users/josedavidduartesilva/Developer/idiomaswl/public/audio/toefl/set-5/announcement.mp3</x:v>
      </x:c>
      <x:c r="H53" s="19" t="n">
        <x:v>46.74</x:v>
      </x:c>
      <x:c r="I53" s="15" t="str">
        <x:v>P1</x:v>
      </x:c>
      <x:c r="J53" s="15" t="str">
        <x:v>100_percent_required_T08_T15</x:v>
      </x:c>
      <x:c r="K53" s="15" t="str">
        <x:v>pass_automated_T06</x:v>
      </x:c>
      <x:c r="L53" s="15" t="str">
        <x:v>none</x:v>
      </x:c>
      <x:c r="M53" s="15" t="str">
        <x:v>none</x:v>
      </x:c>
      <x:c r="N53" s="15" t="str">
        <x:v>conserve_source_technical_candidate</x:v>
      </x:c>
      <x:c r="O53" s="15" t="str">
        <x:v>source_exact_normalized_supported_pending_human</x:v>
      </x:c>
      <x:c r="P53" s="15" t="str">
        <x:v>LING-LEN-001</x:v>
      </x:c>
      <x:c r="Q53" s="15" t="str">
        <x:v>Good morning, everyone. This is an announcement for all students using the campus parking lots. Beginning next Monday, Lot C — the large lot behind the engineering building — will be closed for resurfacing for approximately two weeks. During this period, students who normally park in Lot C should use Lot F, near the athletic center, which has been reserved for your use.
A free shuttle will run every fifteen minutes between Lot F and the main academic buildings from seven a.m. to seven p.m. Please allow a few extra minutes for your commute. Parking permits remain valid in Lot F — you do not need a new permit. We apologize for the inconvenience and appreciate your patience as we improve campus facilities. If you have questions, contact the parking office in the student center.</x:v>
      </x:c>
      <x:c r="R53" s="15" t="str">
        <x:v>Good morning everyone. This is an announcement for all students using the campus parking lots. Beginning next Monday, Lot C, the large lot behind the engineering building, will be closed for resurfacing for approximately two weeks. During this period, students who normally park in Lot C should use Lot F, near the Athletic Center, which has been reserved for your use. A free shuttle will run every 15 minutes between Lot F and the main academic buildings from 7 a.m. to 7 p.m. Please allow a few extra minutes for your commute. Parking permits remain valid in Lot F. You do not need a new permit. We apologize for the inconvenience and appreciate your patience as we improve campus facilities. If you have questions, contact the parking office in the Student Center.</x:v>
      </x:c>
      <x:c r="S53" s="15" t="str">
        <x:v>none</x:v>
      </x:c>
      <x:c r="T53" s="15" t="str">
        <x:v>source_contract_preserved_subject_to_T08</x:v>
      </x:c>
      <x:c r="U53" s="15" t="str">
        <x:v>C_linguistic_segment_or_reframe_candidate</x:v>
      </x:c>
      <x:c r="V53" s="16" t="str">
        <x:v>not_started</x:v>
      </x:c>
      <x:c r="W53" s="16"/>
      <x:c r="X53" s="16"/>
      <x:c r="Y53" s="16"/>
      <x:c r="Z53" s="16"/>
      <x:c r="AA53" s="16"/>
      <x:c r="AB53" s="16"/>
      <x:c r="AC53" s="16"/>
      <x:c r="AD53" s="16"/>
      <x:c r="AE53" s="16"/>
      <x:c r="AF53" s="16"/>
      <x:c r="AG53" s="16"/>
      <x:c r="AH53" s="16"/>
      <x:c r="AI53" s="16"/>
      <x:c r="AJ53" s="16"/>
      <x:c r="AK53" s="16"/>
      <x:c r="AL53" s="16"/>
      <x:c r="AM53" s="16"/>
      <x:c r="AN53" s="16"/>
      <x:c r="AO53" s="16"/>
      <x:c r="AP53" s="16"/>
      <x:c r="AQ53" s="16"/>
      <x:c r="AR53" s="16"/>
      <x:c r="AS53" s="16"/>
      <x:c r="AT53" s="20"/>
      <x:c r="AU53" s="16"/>
      <x:c r="AV53" s="16"/>
      <x:c r="AW53" s="16" t="str">
        <x:v>pending</x:v>
      </x:c>
      <x:c r="AX53" s="17" t="str">
        <x:v>blocked_not_validated</x:v>
      </x:c>
      <x:c r="AY53" s="18" t="str">
        <x:f>IF(OR(C53="yes",X53="corrected",COUNTIF(Z53:AL53,"major")&gt;0,COUNTIF(Z53:AL53,"blocker")&gt;0,OR(AO53="repair",AO53="segment",AO53="replace",AO53="block")),"yes","no")</x:f>
        <x:v>no</x:v>
      </x:c>
      <x:c r="AZ53" s="18" t="str">
        <x:f>IF(AND(V53="reviewed",W53&gt;=1,X53&lt;&gt;"",Y53&lt;&gt;"",COUNTA(Z53:AL53)=13,AM53&lt;&gt;"",AN53&lt;&gt;"",AO53&lt;&gt;"",AP53&lt;&gt;"",AQ53&lt;&gt;"",AR53&lt;&gt;"",AS53="I_listened_at_1x_and_completed_all_required_fields",AT53&lt;&gt;"",AW53="adjudicated",OR(AY53="no",AND(AU53&lt;&gt;"",AV53&lt;&gt;""))),"complete","incomplete")</x:f>
        <x:v>incomplete</x:v>
      </x:c>
      <x:c r="BA53" s="18" t="str">
        <x:f>IF(AZ53="complete","none","faltan campos humanos, adjudicación o segunda revisión")</x:f>
        <x:v>faltan campos humanos, adjudicación o segunda revisión</x:v>
      </x:c>
    </x:row>
    <x:row r="54" ht="36" customHeight="1">
      <x:c r="A54" s="15" t="n">
        <x:v>53</x:v>
      </x:c>
      <x:c r="B54" s="15" t="str">
        <x:v>P1-LONG</x:v>
      </x:c>
      <x:c r="C54" s="15" t="str">
        <x:v>no</x:v>
      </x:c>
      <x:c r="D54" s="15" t="str">
        <x:v>asset:toefl:set-5:part-8:academic-talk</x:v>
      </x:c>
      <x:c r="E54" s="15" t="str">
        <x:v>set-5</x:v>
      </x:c>
      <x:c r="F54" s="15" t="str">
        <x:v>Listen to an Academic Talk</x:v>
      </x:c>
      <x:c r="G54" s="15" t="str">
        <x:v>/Users/josedavidduartesilva/Developer/idiomaswl/public/audio/toefl/set-5/academic-talk.mp3</x:v>
      </x:c>
      <x:c r="H54" s="19" t="n">
        <x:v>110.1</x:v>
      </x:c>
      <x:c r="I54" s="15" t="str">
        <x:v>P1</x:v>
      </x:c>
      <x:c r="J54" s="15" t="str">
        <x:v>100_percent_required_T08_T15</x:v>
      </x:c>
      <x:c r="K54" s="15" t="str">
        <x:v>fail_actionable</x:v>
      </x:c>
      <x:c r="L54" s="15" t="str">
        <x:v>TECH-LDN-002</x:v>
      </x:c>
      <x:c r="M54" s="15" t="str">
        <x:v>TECH-PEAK-003</x:v>
      </x:c>
      <x:c r="N54" s="15" t="str">
        <x:v>measure_gain_create_versioned_normalized_variant</x:v>
      </x:c>
      <x:c r="O54" s="15" t="str">
        <x:v>source_material_diff_pending_human</x:v>
      </x:c>
      <x:c r="P54" s="15" t="str">
        <x:v>LING-DIFF-001;LING-CRIT-001;TECH-T06-FAIL;LING-LEN-002</x:v>
      </x:c>
      <x:c r="Q54" s="15" t="str">
        <x:v>PROFESSOR: Today I want to talk about a concept in ecology called a "keystone species." The term comes from architecture — the keystone is the wedge-shaped stone at the top of an arch that holds all the other stones in place. Remove it, and the whole arch collapses. Ecologists borrow this idea to describe a species whose impact on its ecosystem is far greater than you'd expect from its abundance.
The classic example comes from a study of the Pacific coast by ecologist Robert Paine in the 1960s. Paine looked at rocky tide pools where a species of starfish preyed on mussels. When he removed the starfish from an area, you might expect the mussels to thrive — and they did. But here's the surprising part: the mussels thrived so much that they crowded out nearly every other species. The diversity of the tide pool collapsed from about fifteen species down to eight. So the starfish, even though it wasn't especially numerous, was keeping the whole community diverse by controlling the mussel population.
Now, why does this matter beyond tide pools? Because it changes how we think about conservation. If you're trying to protect an ecosystem, you can't treat every species as equally important. Losing a keystone species can trigger a cascade — a chain reaction of extinctions and imbalances. Sea otters are another example: they eat sea urchins, and sea urchins eat kelp. Remove the otters, the urchins explode in number, and the kelp forests — which shelter countless other species — disappear.
The practical lesson is that effective conservation often means identifying and protecting these disproportionately important species, rather than spreading effort evenly across everything.</x:v>
      </x:c>
      <x:c r="R54" s="15" t="str">
        <x:v>Today I want to talk about a concept in ecology called a keystone species. The term comes from architecture. The keystone is the wedge-shaped stone at the top of an arch that holds all the other stones in place. Remove it, and the whole arch collapses. Ecologists borrow this idea to describe a species whose impact on its ecosystem is far greater than you'd expect from its abundance. The classic example comes from a study of the Pacific coast by ecologist Robert Payne in the 1960s. Payne looked at rocky tide pools where a species of starfish preyed on mussels. When he removed the starfish from an area, you might expect the mussels to thrive. And they did. But here's the surprising part. The mussels thrived so much that they crowded out nearly every other species. The diversity of the tide pool collapsed from about 15 species down to 8. So the starfish, even though it wasn't especially numerous, was keeping the whole community diverse by controlling the mussel population. Now, why does this matter beyond tide pools? Because it changes how we think about conservation. If you're trying to protect an ecosystem, you can't treat every species as equally important. Using a keystone species can trigger a cascade, a chain reaction of extinctions and imbalances. Sea otters are another example. They eat sea urchins, and sea urchins eat kelp. Remove the otters, the urchins explode in number, and the kelp forests, which shelter countless other species, disappear. The practical lesson is that effective conservation often means identifying and protecting these disproportionately important species, rather than spreading effort evenly across everything.</x:v>
      </x:c>
      <x:c r="S54" s="15" t="str">
        <x:v>S:paine→payne | S:paine→payne | S:losing→using</x:v>
      </x:c>
      <x:c r="T54" s="15" t="str">
        <x:v>source_contract_preserved_subject_to_T08</x:v>
      </x:c>
      <x:c r="U54" s="15" t="str">
        <x:v>C_linguistic_segment_or_reframe_candidate</x:v>
      </x:c>
      <x:c r="V54" s="16" t="str">
        <x:v>not_started</x:v>
      </x:c>
      <x:c r="W54" s="16"/>
      <x:c r="X54" s="16"/>
      <x:c r="Y54" s="16"/>
      <x:c r="Z54" s="16"/>
      <x:c r="AA54" s="16"/>
      <x:c r="AB54" s="16"/>
      <x:c r="AC54" s="16"/>
      <x:c r="AD54" s="16"/>
      <x:c r="AE54" s="16"/>
      <x:c r="AF54" s="16"/>
      <x:c r="AG54" s="16"/>
      <x:c r="AH54" s="16"/>
      <x:c r="AI54" s="16"/>
      <x:c r="AJ54" s="16"/>
      <x:c r="AK54" s="16"/>
      <x:c r="AL54" s="16"/>
      <x:c r="AM54" s="16"/>
      <x:c r="AN54" s="16"/>
      <x:c r="AO54" s="16"/>
      <x:c r="AP54" s="16"/>
      <x:c r="AQ54" s="16"/>
      <x:c r="AR54" s="16"/>
      <x:c r="AS54" s="16"/>
      <x:c r="AT54" s="20"/>
      <x:c r="AU54" s="16"/>
      <x:c r="AV54" s="16"/>
      <x:c r="AW54" s="16" t="str">
        <x:v>pending</x:v>
      </x:c>
      <x:c r="AX54" s="17" t="str">
        <x:v>blocked_not_validated</x:v>
      </x:c>
      <x:c r="AY54" s="18" t="str">
        <x:f>IF(OR(C54="yes",X54="corrected",COUNTIF(Z54:AL54,"major")&gt;0,COUNTIF(Z54:AL54,"blocker")&gt;0,OR(AO54="repair",AO54="segment",AO54="replace",AO54="block")),"yes","no")</x:f>
        <x:v>no</x:v>
      </x:c>
      <x:c r="AZ54" s="18" t="str">
        <x:f>IF(AND(V54="reviewed",W54&gt;=1,X54&lt;&gt;"",Y54&lt;&gt;"",COUNTA(Z54:AL54)=13,AM54&lt;&gt;"",AN54&lt;&gt;"",AO54&lt;&gt;"",AP54&lt;&gt;"",AQ54&lt;&gt;"",AR54&lt;&gt;"",AS54="I_listened_at_1x_and_completed_all_required_fields",AT54&lt;&gt;"",AW54="adjudicated",OR(AY54="no",AND(AU54&lt;&gt;"",AV54&lt;&gt;""))),"complete","incomplete")</x:f>
        <x:v>incomplete</x:v>
      </x:c>
      <x:c r="BA54" s="18" t="str">
        <x:f>IF(AZ54="complete","none","faltan campos humanos, adjudicación o segunda revisión")</x:f>
        <x:v>faltan campos humanos, adjudicación o segunda revisión</x:v>
      </x:c>
    </x:row>
    <x:row r="55" ht="36" customHeight="1">
      <x:c r="A55" s="15" t="n">
        <x:v>54</x:v>
      </x:c>
      <x:c r="B55" s="15" t="str">
        <x:v>P1-CHOOSE</x:v>
      </x:c>
      <x:c r="C55" s="15" t="str">
        <x:v>no</x:v>
      </x:c>
      <x:c r="D55" s="15" t="str">
        <x:v>asset:toefl:set-6:part-5:listen-choose-1</x:v>
      </x:c>
      <x:c r="E55" s="15" t="str">
        <x:v>set-6</x:v>
      </x:c>
      <x:c r="F55" s="15" t="str">
        <x:v>Listen and Choose a Response</x:v>
      </x:c>
      <x:c r="G55" s="15" t="str">
        <x:v>/Users/josedavidduartesilva/Developer/idiomaswl/public/audio/toefl/set-6/listen-choose-1.mp3</x:v>
      </x:c>
      <x:c r="H55" s="19" t="n">
        <x:v>3.62</x:v>
      </x:c>
      <x:c r="I55" s="15" t="str">
        <x:v>P1</x:v>
      </x:c>
      <x:c r="J55" s="15" t="str">
        <x:v>100_percent_required_T08</x:v>
      </x:c>
      <x:c r="K55" s="15" t="str">
        <x:v>pass_automated_T06</x:v>
      </x:c>
      <x:c r="L55" s="15" t="str">
        <x:v>none</x:v>
      </x:c>
      <x:c r="M55" s="15" t="str">
        <x:v>none</x:v>
      </x:c>
      <x:c r="N55" s="15" t="str">
        <x:v>conserve_source_technical_candidate</x:v>
      </x:c>
      <x:c r="O55" s="15" t="str">
        <x:v>asr_candidate_recovered_pending_human</x:v>
      </x:c>
      <x:c r="P55" s="15" t="str">
        <x:v>LING-SOURCE-001;LING-STRESS-001;LING-DUP-001</x:v>
      </x:c>
      <x:c r="Q55" s="15" t="str"/>
      <x:c r="R55" s="15" t="str">
        <x:v>Excuse me, could you tell me where the manager's office is?</x:v>
      </x:c>
      <x:c r="S55" s="15" t="str">
        <x:v>no_source_candidate</x:v>
      </x:c>
      <x:c r="T55" s="15" t="str">
        <x:v>manual_exchange_review_pass_pending_T08</x:v>
      </x:c>
      <x:c r="U55" s="15" t="str">
        <x:v>B_transcript_adjudication_candidate</x:v>
      </x:c>
      <x:c r="V55" s="16" t="str">
        <x:v>not_started</x:v>
      </x:c>
      <x:c r="W55" s="16"/>
      <x:c r="X55" s="16"/>
      <x:c r="Y55" s="16"/>
      <x:c r="Z55" s="16"/>
      <x:c r="AA55" s="16"/>
      <x:c r="AB55" s="16"/>
      <x:c r="AC55" s="16"/>
      <x:c r="AD55" s="16"/>
      <x:c r="AE55" s="16"/>
      <x:c r="AF55" s="16"/>
      <x:c r="AG55" s="16"/>
      <x:c r="AH55" s="16"/>
      <x:c r="AI55" s="16"/>
      <x:c r="AJ55" s="16"/>
      <x:c r="AK55" s="16"/>
      <x:c r="AL55" s="16"/>
      <x:c r="AM55" s="16"/>
      <x:c r="AN55" s="16"/>
      <x:c r="AO55" s="16"/>
      <x:c r="AP55" s="16"/>
      <x:c r="AQ55" s="16"/>
      <x:c r="AR55" s="16"/>
      <x:c r="AS55" s="16"/>
      <x:c r="AT55" s="20"/>
      <x:c r="AU55" s="16"/>
      <x:c r="AV55" s="16"/>
      <x:c r="AW55" s="16" t="str">
        <x:v>pending</x:v>
      </x:c>
      <x:c r="AX55" s="17" t="str">
        <x:v>blocked_not_validated</x:v>
      </x:c>
      <x:c r="AY55" s="18" t="str">
        <x:f>IF(OR(C55="yes",X55="corrected",COUNTIF(Z55:AL55,"major")&gt;0,COUNTIF(Z55:AL55,"blocker")&gt;0,OR(AO55="repair",AO55="segment",AO55="replace",AO55="block")),"yes","no")</x:f>
        <x:v>no</x:v>
      </x:c>
      <x:c r="AZ55" s="18" t="str">
        <x:f>IF(AND(V55="reviewed",W55&gt;=1,X55&lt;&gt;"",Y55&lt;&gt;"",COUNTA(Z55:AL55)=13,AM55&lt;&gt;"",AN55&lt;&gt;"",AO55&lt;&gt;"",AP55&lt;&gt;"",AQ55&lt;&gt;"",AR55&lt;&gt;"",AS55="I_listened_at_1x_and_completed_all_required_fields",AT55&lt;&gt;"",AW55="adjudicated",OR(AY55="no",AND(AU55&lt;&gt;"",AV55&lt;&gt;""))),"complete","incomplete")</x:f>
        <x:v>incomplete</x:v>
      </x:c>
      <x:c r="BA55" s="18" t="str">
        <x:f>IF(AZ55="complete","none","faltan campos humanos, adjudicación o segunda revisión")</x:f>
        <x:v>faltan campos humanos, adjudicación o segunda revisión</x:v>
      </x:c>
    </x:row>
    <x:row r="56" ht="36" customHeight="1">
      <x:c r="A56" s="15" t="n">
        <x:v>55</x:v>
      </x:c>
      <x:c r="B56" s="15" t="str">
        <x:v>P1-CHOOSE</x:v>
      </x:c>
      <x:c r="C56" s="15" t="str">
        <x:v>no</x:v>
      </x:c>
      <x:c r="D56" s="15" t="str">
        <x:v>asset:toefl:set-6:part-5:listen-choose-2</x:v>
      </x:c>
      <x:c r="E56" s="15" t="str">
        <x:v>set-6</x:v>
      </x:c>
      <x:c r="F56" s="15" t="str">
        <x:v>Listen and Choose a Response</x:v>
      </x:c>
      <x:c r="G56" s="15" t="str">
        <x:v>/Users/josedavidduartesilva/Developer/idiomaswl/public/audio/toefl/set-6/listen-choose-2.mp3</x:v>
      </x:c>
      <x:c r="H56" s="19" t="n">
        <x:v>2.74</x:v>
      </x:c>
      <x:c r="I56" s="15" t="str">
        <x:v>P1</x:v>
      </x:c>
      <x:c r="J56" s="15" t="str">
        <x:v>100_percent_required_T08</x:v>
      </x:c>
      <x:c r="K56" s="15" t="str">
        <x:v>pass_automated_T06</x:v>
      </x:c>
      <x:c r="L56" s="15" t="str">
        <x:v>none</x:v>
      </x:c>
      <x:c r="M56" s="15" t="str">
        <x:v>none</x:v>
      </x:c>
      <x:c r="N56" s="15" t="str">
        <x:v>conserve_source_technical_candidate</x:v>
      </x:c>
      <x:c r="O56" s="15" t="str">
        <x:v>asr_candidate_recovered_pending_human</x:v>
      </x:c>
      <x:c r="P56" s="15" t="str">
        <x:v>LING-SOURCE-001;LING-STRESS-001</x:v>
      </x:c>
      <x:c r="Q56" s="15" t="str"/>
      <x:c r="R56" s="15" t="str">
        <x:v>Would you like to join us for the hike this Saturday?</x:v>
      </x:c>
      <x:c r="S56" s="15" t="str">
        <x:v>no_source_candidate</x:v>
      </x:c>
      <x:c r="T56" s="15" t="str">
        <x:v>manual_exchange_review_pass_pending_T08</x:v>
      </x:c>
      <x:c r="U56" s="15" t="str">
        <x:v>B_transcript_adjudication_candidate</x:v>
      </x:c>
      <x:c r="V56" s="16" t="str">
        <x:v>not_started</x:v>
      </x:c>
      <x:c r="W56" s="16"/>
      <x:c r="X56" s="16"/>
      <x:c r="Y56" s="16"/>
      <x:c r="Z56" s="16"/>
      <x:c r="AA56" s="16"/>
      <x:c r="AB56" s="16"/>
      <x:c r="AC56" s="16"/>
      <x:c r="AD56" s="16"/>
      <x:c r="AE56" s="16"/>
      <x:c r="AF56" s="16"/>
      <x:c r="AG56" s="16"/>
      <x:c r="AH56" s="16"/>
      <x:c r="AI56" s="16"/>
      <x:c r="AJ56" s="16"/>
      <x:c r="AK56" s="16"/>
      <x:c r="AL56" s="16"/>
      <x:c r="AM56" s="16"/>
      <x:c r="AN56" s="16"/>
      <x:c r="AO56" s="16"/>
      <x:c r="AP56" s="16"/>
      <x:c r="AQ56" s="16"/>
      <x:c r="AR56" s="16"/>
      <x:c r="AS56" s="16"/>
      <x:c r="AT56" s="20"/>
      <x:c r="AU56" s="16"/>
      <x:c r="AV56" s="16"/>
      <x:c r="AW56" s="16" t="str">
        <x:v>pending</x:v>
      </x:c>
      <x:c r="AX56" s="17" t="str">
        <x:v>blocked_not_validated</x:v>
      </x:c>
      <x:c r="AY56" s="18" t="str">
        <x:f>IF(OR(C56="yes",X56="corrected",COUNTIF(Z56:AL56,"major")&gt;0,COUNTIF(Z56:AL56,"blocker")&gt;0,OR(AO56="repair",AO56="segment",AO56="replace",AO56="block")),"yes","no")</x:f>
        <x:v>no</x:v>
      </x:c>
      <x:c r="AZ56" s="18" t="str">
        <x:f>IF(AND(V56="reviewed",W56&gt;=1,X56&lt;&gt;"",Y56&lt;&gt;"",COUNTA(Z56:AL56)=13,AM56&lt;&gt;"",AN56&lt;&gt;"",AO56&lt;&gt;"",AP56&lt;&gt;"",AQ56&lt;&gt;"",AR56&lt;&gt;"",AS56="I_listened_at_1x_and_completed_all_required_fields",AT56&lt;&gt;"",AW56="adjudicated",OR(AY56="no",AND(AU56&lt;&gt;"",AV56&lt;&gt;""))),"complete","incomplete")</x:f>
        <x:v>incomplete</x:v>
      </x:c>
      <x:c r="BA56" s="18" t="str">
        <x:f>IF(AZ56="complete","none","faltan campos humanos, adjudicación o segunda revisión")</x:f>
        <x:v>faltan campos humanos, adjudicación o segunda revisión</x:v>
      </x:c>
    </x:row>
    <x:row r="57" ht="36" customHeight="1">
      <x:c r="A57" s="15" t="n">
        <x:v>56</x:v>
      </x:c>
      <x:c r="B57" s="15" t="str">
        <x:v>P1-CHOOSE</x:v>
      </x:c>
      <x:c r="C57" s="15" t="str">
        <x:v>no</x:v>
      </x:c>
      <x:c r="D57" s="15" t="str">
        <x:v>asset:toefl:set-6:part-5:listen-choose-3</x:v>
      </x:c>
      <x:c r="E57" s="15" t="str">
        <x:v>set-6</x:v>
      </x:c>
      <x:c r="F57" s="15" t="str">
        <x:v>Listen and Choose a Response</x:v>
      </x:c>
      <x:c r="G57" s="15" t="str">
        <x:v>/Users/josedavidduartesilva/Developer/idiomaswl/public/audio/toefl/set-6/listen-choose-3.mp3</x:v>
      </x:c>
      <x:c r="H57" s="19" t="n">
        <x:v>2.74</x:v>
      </x:c>
      <x:c r="I57" s="15" t="str">
        <x:v>P1</x:v>
      </x:c>
      <x:c r="J57" s="15" t="str">
        <x:v>100_percent_required_T08</x:v>
      </x:c>
      <x:c r="K57" s="15" t="str">
        <x:v>pass_automated_T06</x:v>
      </x:c>
      <x:c r="L57" s="15" t="str">
        <x:v>none</x:v>
      </x:c>
      <x:c r="M57" s="15" t="str">
        <x:v>none</x:v>
      </x:c>
      <x:c r="N57" s="15" t="str">
        <x:v>conserve_source_technical_candidate</x:v>
      </x:c>
      <x:c r="O57" s="15" t="str">
        <x:v>asr_candidate_recovered_pending_human</x:v>
      </x:c>
      <x:c r="P57" s="15" t="str">
        <x:v>LING-SOURCE-001;LING-STRESS-001</x:v>
      </x:c>
      <x:c r="Q57" s="15" t="str"/>
      <x:c r="R57" s="15" t="str">
        <x:v>How do you usually get to campus in the morning?</x:v>
      </x:c>
      <x:c r="S57" s="15" t="str">
        <x:v>no_source_candidate</x:v>
      </x:c>
      <x:c r="T57" s="15" t="str">
        <x:v>manual_exchange_review_pass_pending_T08</x:v>
      </x:c>
      <x:c r="U57" s="15" t="str">
        <x:v>B_transcript_adjudication_candidate</x:v>
      </x:c>
      <x:c r="V57" s="16" t="str">
        <x:v>not_started</x:v>
      </x:c>
      <x:c r="W57" s="16"/>
      <x:c r="X57" s="16"/>
      <x:c r="Y57" s="16"/>
      <x:c r="Z57" s="16"/>
      <x:c r="AA57" s="16"/>
      <x:c r="AB57" s="16"/>
      <x:c r="AC57" s="16"/>
      <x:c r="AD57" s="16"/>
      <x:c r="AE57" s="16"/>
      <x:c r="AF57" s="16"/>
      <x:c r="AG57" s="16"/>
      <x:c r="AH57" s="16"/>
      <x:c r="AI57" s="16"/>
      <x:c r="AJ57" s="16"/>
      <x:c r="AK57" s="16"/>
      <x:c r="AL57" s="16"/>
      <x:c r="AM57" s="16"/>
      <x:c r="AN57" s="16"/>
      <x:c r="AO57" s="16"/>
      <x:c r="AP57" s="16"/>
      <x:c r="AQ57" s="16"/>
      <x:c r="AR57" s="16"/>
      <x:c r="AS57" s="16"/>
      <x:c r="AT57" s="20"/>
      <x:c r="AU57" s="16"/>
      <x:c r="AV57" s="16"/>
      <x:c r="AW57" s="16" t="str">
        <x:v>pending</x:v>
      </x:c>
      <x:c r="AX57" s="17" t="str">
        <x:v>blocked_not_validated</x:v>
      </x:c>
      <x:c r="AY57" s="18" t="str">
        <x:f>IF(OR(C57="yes",X57="corrected",COUNTIF(Z57:AL57,"major")&gt;0,COUNTIF(Z57:AL57,"blocker")&gt;0,OR(AO57="repair",AO57="segment",AO57="replace",AO57="block")),"yes","no")</x:f>
        <x:v>no</x:v>
      </x:c>
      <x:c r="AZ57" s="18" t="str">
        <x:f>IF(AND(V57="reviewed",W57&gt;=1,X57&lt;&gt;"",Y57&lt;&gt;"",COUNTA(Z57:AL57)=13,AM57&lt;&gt;"",AN57&lt;&gt;"",AO57&lt;&gt;"",AP57&lt;&gt;"",AQ57&lt;&gt;"",AR57&lt;&gt;"",AS57="I_listened_at_1x_and_completed_all_required_fields",AT57&lt;&gt;"",AW57="adjudicated",OR(AY57="no",AND(AU57&lt;&gt;"",AV57&lt;&gt;""))),"complete","incomplete")</x:f>
        <x:v>incomplete</x:v>
      </x:c>
      <x:c r="BA57" s="18" t="str">
        <x:f>IF(AZ57="complete","none","faltan campos humanos, adjudicación o segunda revisión")</x:f>
        <x:v>faltan campos humanos, adjudicación o segunda revisión</x:v>
      </x:c>
    </x:row>
    <x:row r="58" ht="36" customHeight="1">
      <x:c r="A58" s="15" t="n">
        <x:v>57</x:v>
      </x:c>
      <x:c r="B58" s="15" t="str">
        <x:v>P1-CHOOSE</x:v>
      </x:c>
      <x:c r="C58" s="15" t="str">
        <x:v>no</x:v>
      </x:c>
      <x:c r="D58" s="15" t="str">
        <x:v>asset:toefl:set-6:part-5:listen-choose-4</x:v>
      </x:c>
      <x:c r="E58" s="15" t="str">
        <x:v>set-6</x:v>
      </x:c>
      <x:c r="F58" s="15" t="str">
        <x:v>Listen and Choose a Response</x:v>
      </x:c>
      <x:c r="G58" s="15" t="str">
        <x:v>/Users/josedavidduartesilva/Developer/idiomaswl/public/audio/toefl/set-6/listen-choose-4.mp3</x:v>
      </x:c>
      <x:c r="H58" s="19" t="n">
        <x:v>2.74</x:v>
      </x:c>
      <x:c r="I58" s="15" t="str">
        <x:v>P1</x:v>
      </x:c>
      <x:c r="J58" s="15" t="str">
        <x:v>100_percent_required_T08</x:v>
      </x:c>
      <x:c r="K58" s="15" t="str">
        <x:v>fail_actionable</x:v>
      </x:c>
      <x:c r="L58" s="15" t="str">
        <x:v>TECH-LDN-002</x:v>
      </x:c>
      <x:c r="M58" s="15" t="str">
        <x:v>none</x:v>
      </x:c>
      <x:c r="N58" s="15" t="str">
        <x:v>measure_gain_create_versioned_normalized_variant</x:v>
      </x:c>
      <x:c r="O58" s="15" t="str">
        <x:v>asr_candidate_recovered_pending_human</x:v>
      </x:c>
      <x:c r="P58" s="15" t="str">
        <x:v>LING-SOURCE-001;TECH-T06-FAIL;LING-STRESS-001</x:v>
      </x:c>
      <x:c r="Q58" s="15" t="str"/>
      <x:c r="R58" s="15" t="str">
        <x:v>Could you give me a hand moving these into the car?</x:v>
      </x:c>
      <x:c r="S58" s="15" t="str">
        <x:v>no_source_candidate</x:v>
      </x:c>
      <x:c r="T58" s="15" t="str">
        <x:v>manual_exchange_review_pass_pending_T08</x:v>
      </x:c>
      <x:c r="U58" s="15" t="str">
        <x:v>B_transcript_adjudication_candidate</x:v>
      </x:c>
      <x:c r="V58" s="16" t="str">
        <x:v>not_started</x:v>
      </x:c>
      <x:c r="W58" s="16"/>
      <x:c r="X58" s="16"/>
      <x:c r="Y58" s="16"/>
      <x:c r="Z58" s="16"/>
      <x:c r="AA58" s="16"/>
      <x:c r="AB58" s="16"/>
      <x:c r="AC58" s="16"/>
      <x:c r="AD58" s="16"/>
      <x:c r="AE58" s="16"/>
      <x:c r="AF58" s="16"/>
      <x:c r="AG58" s="16"/>
      <x:c r="AH58" s="16"/>
      <x:c r="AI58" s="16"/>
      <x:c r="AJ58" s="16"/>
      <x:c r="AK58" s="16"/>
      <x:c r="AL58" s="16"/>
      <x:c r="AM58" s="16"/>
      <x:c r="AN58" s="16"/>
      <x:c r="AO58" s="16"/>
      <x:c r="AP58" s="16"/>
      <x:c r="AQ58" s="16"/>
      <x:c r="AR58" s="16"/>
      <x:c r="AS58" s="16"/>
      <x:c r="AT58" s="20"/>
      <x:c r="AU58" s="16"/>
      <x:c r="AV58" s="16"/>
      <x:c r="AW58" s="16" t="str">
        <x:v>pending</x:v>
      </x:c>
      <x:c r="AX58" s="17" t="str">
        <x:v>blocked_not_validated</x:v>
      </x:c>
      <x:c r="AY58" s="18" t="str">
        <x:f>IF(OR(C58="yes",X58="corrected",COUNTIF(Z58:AL58,"major")&gt;0,COUNTIF(Z58:AL58,"blocker")&gt;0,OR(AO58="repair",AO58="segment",AO58="replace",AO58="block")),"yes","no")</x:f>
        <x:v>no</x:v>
      </x:c>
      <x:c r="AZ58" s="18" t="str">
        <x:f>IF(AND(V58="reviewed",W58&gt;=1,X58&lt;&gt;"",Y58&lt;&gt;"",COUNTA(Z58:AL58)=13,AM58&lt;&gt;"",AN58&lt;&gt;"",AO58&lt;&gt;"",AP58&lt;&gt;"",AQ58&lt;&gt;"",AR58&lt;&gt;"",AS58="I_listened_at_1x_and_completed_all_required_fields",AT58&lt;&gt;"",AW58="adjudicated",OR(AY58="no",AND(AU58&lt;&gt;"",AV58&lt;&gt;""))),"complete","incomplete")</x:f>
        <x:v>incomplete</x:v>
      </x:c>
      <x:c r="BA58" s="18" t="str">
        <x:f>IF(AZ58="complete","none","faltan campos humanos, adjudicación o segunda revisión")</x:f>
        <x:v>faltan campos humanos, adjudicación o segunda revisión</x:v>
      </x:c>
    </x:row>
    <x:row r="59" ht="36" customHeight="1">
      <x:c r="A59" s="15" t="n">
        <x:v>58</x:v>
      </x:c>
      <x:c r="B59" s="15" t="str">
        <x:v>P1-CHOOSE</x:v>
      </x:c>
      <x:c r="C59" s="15" t="str">
        <x:v>no</x:v>
      </x:c>
      <x:c r="D59" s="15" t="str">
        <x:v>asset:toefl:set-6:part-5:listen-choose-5</x:v>
      </x:c>
      <x:c r="E59" s="15" t="str">
        <x:v>set-6</x:v>
      </x:c>
      <x:c r="F59" s="15" t="str">
        <x:v>Listen and Choose a Response</x:v>
      </x:c>
      <x:c r="G59" s="15" t="str">
        <x:v>/Users/josedavidduartesilva/Developer/idiomaswl/public/audio/toefl/set-6/listen-choose-5.mp3</x:v>
      </x:c>
      <x:c r="H59" s="19" t="n">
        <x:v>2.18</x:v>
      </x:c>
      <x:c r="I59" s="15" t="str">
        <x:v>P1</x:v>
      </x:c>
      <x:c r="J59" s="15" t="str">
        <x:v>100_percent_required_T08</x:v>
      </x:c>
      <x:c r="K59" s="15" t="str">
        <x:v>pass_automated_T06</x:v>
      </x:c>
      <x:c r="L59" s="15" t="str">
        <x:v>none</x:v>
      </x:c>
      <x:c r="M59" s="15" t="str">
        <x:v>none</x:v>
      </x:c>
      <x:c r="N59" s="15" t="str">
        <x:v>conserve_source_technical_candidate</x:v>
      </x:c>
      <x:c r="O59" s="15" t="str">
        <x:v>asr_candidate_recovered_pending_human</x:v>
      </x:c>
      <x:c r="P59" s="15" t="str">
        <x:v>LING-SOURCE-001;LING-STRESS-001</x:v>
      </x:c>
      <x:c r="Q59" s="15" t="str"/>
      <x:c r="R59" s="15" t="str">
        <x:v>Did you manage to finish your essay?</x:v>
      </x:c>
      <x:c r="S59" s="15" t="str">
        <x:v>no_source_candidate</x:v>
      </x:c>
      <x:c r="T59" s="15" t="str">
        <x:v>manual_exchange_review_pass_pending_T08</x:v>
      </x:c>
      <x:c r="U59" s="15" t="str">
        <x:v>B_transcript_adjudication_candidate</x:v>
      </x:c>
      <x:c r="V59" s="16" t="str">
        <x:v>not_started</x:v>
      </x:c>
      <x:c r="W59" s="16"/>
      <x:c r="X59" s="16"/>
      <x:c r="Y59" s="16"/>
      <x:c r="Z59" s="16"/>
      <x:c r="AA59" s="16"/>
      <x:c r="AB59" s="16"/>
      <x:c r="AC59" s="16"/>
      <x:c r="AD59" s="16"/>
      <x:c r="AE59" s="16"/>
      <x:c r="AF59" s="16"/>
      <x:c r="AG59" s="16"/>
      <x:c r="AH59" s="16"/>
      <x:c r="AI59" s="16"/>
      <x:c r="AJ59" s="16"/>
      <x:c r="AK59" s="16"/>
      <x:c r="AL59" s="16"/>
      <x:c r="AM59" s="16"/>
      <x:c r="AN59" s="16"/>
      <x:c r="AO59" s="16"/>
      <x:c r="AP59" s="16"/>
      <x:c r="AQ59" s="16"/>
      <x:c r="AR59" s="16"/>
      <x:c r="AS59" s="16"/>
      <x:c r="AT59" s="20"/>
      <x:c r="AU59" s="16"/>
      <x:c r="AV59" s="16"/>
      <x:c r="AW59" s="16" t="str">
        <x:v>pending</x:v>
      </x:c>
      <x:c r="AX59" s="17" t="str">
        <x:v>blocked_not_validated</x:v>
      </x:c>
      <x:c r="AY59" s="18" t="str">
        <x:f>IF(OR(C59="yes",X59="corrected",COUNTIF(Z59:AL59,"major")&gt;0,COUNTIF(Z59:AL59,"blocker")&gt;0,OR(AO59="repair",AO59="segment",AO59="replace",AO59="block")),"yes","no")</x:f>
        <x:v>no</x:v>
      </x:c>
      <x:c r="AZ59" s="18" t="str">
        <x:f>IF(AND(V59="reviewed",W59&gt;=1,X59&lt;&gt;"",Y59&lt;&gt;"",COUNTA(Z59:AL59)=13,AM59&lt;&gt;"",AN59&lt;&gt;"",AO59&lt;&gt;"",AP59&lt;&gt;"",AQ59&lt;&gt;"",AR59&lt;&gt;"",AS59="I_listened_at_1x_and_completed_all_required_fields",AT59&lt;&gt;"",AW59="adjudicated",OR(AY59="no",AND(AU59&lt;&gt;"",AV59&lt;&gt;""))),"complete","incomplete")</x:f>
        <x:v>incomplete</x:v>
      </x:c>
      <x:c r="BA59" s="18" t="str">
        <x:f>IF(AZ59="complete","none","faltan campos humanos, adjudicación o segunda revisión")</x:f>
        <x:v>faltan campos humanos, adjudicación o segunda revisión</x:v>
      </x:c>
    </x:row>
    <x:row r="60" ht="36" customHeight="1">
      <x:c r="A60" s="15" t="n">
        <x:v>59</x:v>
      </x:c>
      <x:c r="B60" s="15" t="str">
        <x:v>P1-LONG</x:v>
      </x:c>
      <x:c r="C60" s="15" t="str">
        <x:v>no</x:v>
      </x:c>
      <x:c r="D60" s="15" t="str">
        <x:v>asset:toefl:set-6:part-6:conversation</x:v>
      </x:c>
      <x:c r="E60" s="15" t="str">
        <x:v>set-6</x:v>
      </x:c>
      <x:c r="F60" s="15" t="str">
        <x:v>Listen to a Conversation</x:v>
      </x:c>
      <x:c r="G60" s="15" t="str">
        <x:v>/Users/josedavidduartesilva/Developer/idiomaswl/public/audio/toefl/set-6/conversation.mp3</x:v>
      </x:c>
      <x:c r="H60" s="19" t="n">
        <x:v>72.64</x:v>
      </x:c>
      <x:c r="I60" s="15" t="str">
        <x:v>P1</x:v>
      </x:c>
      <x:c r="J60" s="15" t="str">
        <x:v>100_percent_required_T08_T15</x:v>
      </x:c>
      <x:c r="K60" s="15" t="str">
        <x:v>pass_with_actionable_warning</x:v>
      </x:c>
      <x:c r="L60" s="15" t="str">
        <x:v>none</x:v>
      </x:c>
      <x:c r="M60" s="15" t="str">
        <x:v>TECH-PEAK-003</x:v>
      </x:c>
      <x:c r="N60" s="15" t="str">
        <x:v>review_warning_in_T08_before_conserve</x:v>
      </x:c>
      <x:c r="O60" s="15" t="str">
        <x:v>source_material_diff_pending_human</x:v>
      </x:c>
      <x:c r="P60" s="15" t="str">
        <x:v>LING-DIFF-001;LING-CRIT-001;LING-LEN-001</x:v>
      </x:c>
      <x:c r="Q60" s="15" t="str">
        <x:v>STUDENT: Excuse me, Professor Han, do you have a minute? I wanted to ask about the research essay.
PROFESSOR: Of course, come in. What's on your mind?
STUDENT: Well, I chose to write about renewable energy, but the topic feels too broad. Every source I find covers something different — solar, wind, policy, costs. I'm not sure how to focus it.
PROFESSOR: That's a very common problem, and honestly, recognizing it is half the battle. A good research essay usually answers one specific question, not a whole field. So instead of "renewable energy," what if you asked something like, "Why has solar power become cheaper than coal in the last decade?"
STUDENT: Oh, that's much more manageable. So I should narrow it to one question first, and then find sources that speak to that question?
PROFESSOR: Exactly. And don't be afraid to leave things out. If a source is interesting but doesn't help answer your question, it doesn't belong in the essay. That's the hardest lesson for most students.
STUDENT: That makes sense. Should I email you my question once I've decided?
PROFESSOR: Please do. I'm happy to give you feedback before you start writing — that's the best time to catch a topic that's still too wide.</x:v>
      </x:c>
      <x:c r="R60" s="15" t="str">
        <x:v>Excuse me, Professor Hahn. Do you have a minute? I wanted to ask about the research essay. Of course. Come in. What's on your mind? Well, I chose to write about renewable energy, but the topic feels too broad. Every source I find covers something different. Solar, wind, policy, costs. I'm not sure how to focus it. That's a very common problem, and honestly, recognizing it is half the battle. A good research essay usually answers one specific question, not a whole field. So instead of renewable energy, what if you ask something like, why has solar power become cheaper than coal in the last decade? Oh, that's much more manageable. So I should narrow it to one question first, and then find sources that speak to that question. Exactly. And don't be afraid to leave things out. If a source is interesting, but doesn't help answer your question, it doesn't belong in the essay. That's the hardest lesson for most students. That makes sense. Should I email you my question once I've decided? Please do. I'm happy to give you feedback before you start writing. That's the best time to catch a topic that's still too wide.</x:v>
      </x:c>
      <x:c r="S60" s="15" t="str">
        <x:v>S:han→hahn | S:asked→ask</x:v>
      </x:c>
      <x:c r="T60" s="15" t="str">
        <x:v>source_contract_preserved_subject_to_T08</x:v>
      </x:c>
      <x:c r="U60" s="15" t="str">
        <x:v>C_linguistic_segment_or_reframe_candidate</x:v>
      </x:c>
      <x:c r="V60" s="16" t="str">
        <x:v>not_started</x:v>
      </x:c>
      <x:c r="W60" s="16"/>
      <x:c r="X60" s="16"/>
      <x:c r="Y60" s="16"/>
      <x:c r="Z60" s="16"/>
      <x:c r="AA60" s="16"/>
      <x:c r="AB60" s="16"/>
      <x:c r="AC60" s="16"/>
      <x:c r="AD60" s="16"/>
      <x:c r="AE60" s="16"/>
      <x:c r="AF60" s="16"/>
      <x:c r="AG60" s="16"/>
      <x:c r="AH60" s="16"/>
      <x:c r="AI60" s="16"/>
      <x:c r="AJ60" s="16"/>
      <x:c r="AK60" s="16"/>
      <x:c r="AL60" s="16"/>
      <x:c r="AM60" s="16"/>
      <x:c r="AN60" s="16"/>
      <x:c r="AO60" s="16"/>
      <x:c r="AP60" s="16"/>
      <x:c r="AQ60" s="16"/>
      <x:c r="AR60" s="16"/>
      <x:c r="AS60" s="16"/>
      <x:c r="AT60" s="20"/>
      <x:c r="AU60" s="16"/>
      <x:c r="AV60" s="16"/>
      <x:c r="AW60" s="16" t="str">
        <x:v>pending</x:v>
      </x:c>
      <x:c r="AX60" s="17" t="str">
        <x:v>blocked_not_validated</x:v>
      </x:c>
      <x:c r="AY60" s="18" t="str">
        <x:f>IF(OR(C60="yes",X60="corrected",COUNTIF(Z60:AL60,"major")&gt;0,COUNTIF(Z60:AL60,"blocker")&gt;0,OR(AO60="repair",AO60="segment",AO60="replace",AO60="block")),"yes","no")</x:f>
        <x:v>no</x:v>
      </x:c>
      <x:c r="AZ60" s="18" t="str">
        <x:f>IF(AND(V60="reviewed",W60&gt;=1,X60&lt;&gt;"",Y60&lt;&gt;"",COUNTA(Z60:AL60)=13,AM60&lt;&gt;"",AN60&lt;&gt;"",AO60&lt;&gt;"",AP60&lt;&gt;"",AQ60&lt;&gt;"",AR60&lt;&gt;"",AS60="I_listened_at_1x_and_completed_all_required_fields",AT60&lt;&gt;"",AW60="adjudicated",OR(AY60="no",AND(AU60&lt;&gt;"",AV60&lt;&gt;""))),"complete","incomplete")</x:f>
        <x:v>incomplete</x:v>
      </x:c>
      <x:c r="BA60" s="18" t="str">
        <x:f>IF(AZ60="complete","none","faltan campos humanos, adjudicación o segunda revisión")</x:f>
        <x:v>faltan campos humanos, adjudicación o segunda revisión</x:v>
      </x:c>
    </x:row>
    <x:row r="61" ht="36" customHeight="1">
      <x:c r="A61" s="15" t="n">
        <x:v>60</x:v>
      </x:c>
      <x:c r="B61" s="15" t="str">
        <x:v>P1-LONG</x:v>
      </x:c>
      <x:c r="C61" s="15" t="str">
        <x:v>no</x:v>
      </x:c>
      <x:c r="D61" s="15" t="str">
        <x:v>asset:toefl:set-6:part-7:announcement</x:v>
      </x:c>
      <x:c r="E61" s="15" t="str">
        <x:v>set-6</x:v>
      </x:c>
      <x:c r="F61" s="15" t="str">
        <x:v>Listen to an Announcement</x:v>
      </x:c>
      <x:c r="G61" s="15" t="str">
        <x:v>/Users/josedavidduartesilva/Developer/idiomaswl/public/audio/toefl/set-6/announcement.mp3</x:v>
      </x:c>
      <x:c r="H61" s="19" t="n">
        <x:v>41.38</x:v>
      </x:c>
      <x:c r="I61" s="15" t="str">
        <x:v>P1</x:v>
      </x:c>
      <x:c r="J61" s="15" t="str">
        <x:v>100_percent_required_T08_T15</x:v>
      </x:c>
      <x:c r="K61" s="15" t="str">
        <x:v>pass_automated_T06</x:v>
      </x:c>
      <x:c r="L61" s="15" t="str">
        <x:v>none</x:v>
      </x:c>
      <x:c r="M61" s="15" t="str">
        <x:v>none</x:v>
      </x:c>
      <x:c r="N61" s="15" t="str">
        <x:v>conserve_source_technical_candidate</x:v>
      </x:c>
      <x:c r="O61" s="15" t="str">
        <x:v>source_material_diff_pending_human</x:v>
      </x:c>
      <x:c r="P61" s="15" t="str">
        <x:v>LING-DIFF-001;LING-CRIT-001;LING-LEN-001</x:v>
      </x:c>
      <x:c r="Q61" s="15" t="str">
        <x:v>Attention, students. This is a reminder from the Student Activities Office. The annual Club Fair will take place this Friday from eleven a.m. to three p.m. on the main quad. More than forty student clubs will have tables where you can learn about their activities and sign up to join.
This year, we've added a new feature: a "quiet room" in the student center for anyone who prefers a calmer space to talk with club representatives one on one. If the weather is bad, the entire fair will move indoors to the gymnasium — check your email that morning for confirmation. Free refreshments will be available while supplies last. We hope to see you there, and remember: joining a club is one of the best ways to make friends and build your résumé.</x:v>
      </x:c>
      <x:c r="R61" s="15" t="str">
        <x:v>Attention students! This is a reminder from the Student Activities Office. The annual club fair will take place this Friday from 11am to 3pm on the main quad. More than 40 student clubs will have tables where you can learn about their activities and sign up to join. This year, we've added a new feature, a quiet room in the Student Center for anyone who prefers a commerce space to talk with club representatives one-on-one. If the weather is bad, the entire fair will move indoors to the the gymnasium, check your email that morning for confirmation. Free refreshments will be available while supplies last. We hope to see you there, and remember, joining a club is one of the best ways to make friends and build your resume.</x:v>
      </x:c>
      <x:c r="S61" s="15" t="str">
        <x:v>D:a | S:m→am | D:p | S:m→pm | S:calmer→commerce | I:the</x:v>
      </x:c>
      <x:c r="T61" s="15" t="str">
        <x:v>source_contract_preserved_subject_to_T08</x:v>
      </x:c>
      <x:c r="U61" s="15" t="str">
        <x:v>C_linguistic_segment_or_reframe_candidate</x:v>
      </x:c>
      <x:c r="V61" s="16" t="str">
        <x:v>not_started</x:v>
      </x:c>
      <x:c r="W61" s="16"/>
      <x:c r="X61" s="16"/>
      <x:c r="Y61" s="16"/>
      <x:c r="Z61" s="16"/>
      <x:c r="AA61" s="16"/>
      <x:c r="AB61" s="16"/>
      <x:c r="AC61" s="16"/>
      <x:c r="AD61" s="16"/>
      <x:c r="AE61" s="16"/>
      <x:c r="AF61" s="16"/>
      <x:c r="AG61" s="16"/>
      <x:c r="AH61" s="16"/>
      <x:c r="AI61" s="16"/>
      <x:c r="AJ61" s="16"/>
      <x:c r="AK61" s="16"/>
      <x:c r="AL61" s="16"/>
      <x:c r="AM61" s="16"/>
      <x:c r="AN61" s="16"/>
      <x:c r="AO61" s="16"/>
      <x:c r="AP61" s="16"/>
      <x:c r="AQ61" s="16"/>
      <x:c r="AR61" s="16"/>
      <x:c r="AS61" s="16"/>
      <x:c r="AT61" s="20"/>
      <x:c r="AU61" s="16"/>
      <x:c r="AV61" s="16"/>
      <x:c r="AW61" s="16" t="str">
        <x:v>pending</x:v>
      </x:c>
      <x:c r="AX61" s="17" t="str">
        <x:v>blocked_not_validated</x:v>
      </x:c>
      <x:c r="AY61" s="18" t="str">
        <x:f>IF(OR(C61="yes",X61="corrected",COUNTIF(Z61:AL61,"major")&gt;0,COUNTIF(Z61:AL61,"blocker")&gt;0,OR(AO61="repair",AO61="segment",AO61="replace",AO61="block")),"yes","no")</x:f>
        <x:v>no</x:v>
      </x:c>
      <x:c r="AZ61" s="18" t="str">
        <x:f>IF(AND(V61="reviewed",W61&gt;=1,X61&lt;&gt;"",Y61&lt;&gt;"",COUNTA(Z61:AL61)=13,AM61&lt;&gt;"",AN61&lt;&gt;"",AO61&lt;&gt;"",AP61&lt;&gt;"",AQ61&lt;&gt;"",AR61&lt;&gt;"",AS61="I_listened_at_1x_and_completed_all_required_fields",AT61&lt;&gt;"",AW61="adjudicated",OR(AY61="no",AND(AU61&lt;&gt;"",AV61&lt;&gt;""))),"complete","incomplete")</x:f>
        <x:v>incomplete</x:v>
      </x:c>
      <x:c r="BA61" s="18" t="str">
        <x:f>IF(AZ61="complete","none","faltan campos humanos, adjudicación o segunda revisión")</x:f>
        <x:v>faltan campos humanos, adjudicación o segunda revisión</x:v>
      </x:c>
    </x:row>
    <x:row r="62" ht="36" customHeight="1">
      <x:c r="A62" s="15" t="n">
        <x:v>61</x:v>
      </x:c>
      <x:c r="B62" s="15" t="str">
        <x:v>P1-LONG</x:v>
      </x:c>
      <x:c r="C62" s="15" t="str">
        <x:v>no</x:v>
      </x:c>
      <x:c r="D62" s="15" t="str">
        <x:v>asset:toefl:set-6:part-8:academic-talk</x:v>
      </x:c>
      <x:c r="E62" s="15" t="str">
        <x:v>set-6</x:v>
      </x:c>
      <x:c r="F62" s="15" t="str">
        <x:v>Listen to an Academic Talk</x:v>
      </x:c>
      <x:c r="G62" s="15" t="str">
        <x:v>/Users/josedavidduartesilva/Developer/idiomaswl/public/audio/toefl/set-6/academic-talk.mp3</x:v>
      </x:c>
      <x:c r="H62" s="19" t="n">
        <x:v>131.54</x:v>
      </x:c>
      <x:c r="I62" s="15" t="str">
        <x:v>P1</x:v>
      </x:c>
      <x:c r="J62" s="15" t="str">
        <x:v>100_percent_required_T08_T15</x:v>
      </x:c>
      <x:c r="K62" s="15" t="str">
        <x:v>fail_actionable</x:v>
      </x:c>
      <x:c r="L62" s="15" t="str">
        <x:v>TECH-LDN-002</x:v>
      </x:c>
      <x:c r="M62" s="15" t="str">
        <x:v>none</x:v>
      </x:c>
      <x:c r="N62" s="15" t="str">
        <x:v>measure_gain_create_versioned_normalized_variant</x:v>
      </x:c>
      <x:c r="O62" s="15" t="str">
        <x:v>source_minor_diff_supported_pending_human</x:v>
      </x:c>
      <x:c r="P62" s="15" t="str">
        <x:v>LING-DIFF-001;TECH-T06-FAIL;LING-LEN-002</x:v>
      </x:c>
      <x:c r="Q62" s="15" t="str">
        <x:v>PROFESSOR: Let's talk about why we forget things — and I want to start by challenging an assumption. Most people think forgetting is simply a failure of memory, like a leak in a bucket. But many psychologists now argue that forgetting is actually a useful feature, not a bug.
Consider what would happen if you remembered everything — every phone number you ever dialed, every route you ever walked, every conversation word for word. That sounds powerful, but it would be paralyzing. Your brain would be cluttered with outdated and irrelevant information. When you needed to recall where you parked your car today, you'd have to sift through the memory of where you parked it every previous day. Forgetting old, unused information actually helps you retrieve what's currently relevant.
There's a well-known case study of a man who could not forget — he remembered essentially everything he experienced. You might expect him to be a genius, but in fact he struggled. He found it hard to think abstractly or to see the general pattern behind specific details, because every detail remained equally vivid. The forest was lost in the trees.
So how does the brain decide what to keep? One key factor is use. Memories that are retrieved and used are strengthened, while those that go unused gradually weaken. This is sometimes described as "use it or lose it." Another factor is emotional significance — we tend to retain memories tied to strong emotions. From an evolutionary standpoint, this makes sense: remembering a dangerous situation could save your life, while remembering what you had for lunch three Tuesdays ago rarely matters.
The takeaway is that a healthy memory isn't one that holds on to everything. It's one that efficiently keeps what's useful and lets go of what isn't.</x:v>
      </x:c>
      <x:c r="R62" s="15" t="str">
        <x:v>Let's talk about why we forget things. And I want to start by challenging an assumption. Most people think forgetting is simply a failure of memory, like a leak in a bucket. But many psychologists now argue that forgetting is actually a useful feature, not a bug. Consider what would happen if you remembered everything, every phone number you ever dialed, every route you ever walked, every conversation, word for word. That sounds powerful, but it would be paralyzing. Your brain would be cluttered with outdated and irrelevant information. When you needed to recall where you parked your car today, you'd have to sift through the memory of where you parked it every previous day. Forgetting old, unused information actually helps you retrieve what's currently relevant. There's a well-known case study a man who could not forget. He remembered essentially everything he experienced. You might expect him to be a genius, but in fact, he struggled. He found it hard to think abstractly, or to see the general pattern behind specific details, because every detail remained equally vivid. The forest was lost in the trees. So how does the brain decide what to keep? One key factor is use. Memories that are retrieved and used are strengthened, while those that go unused gradually weaken. This is sometimes described as use it or lose it. Another factor is emotional significance. We tend to retain memories tied to strong emotions. From an evolutionary standpoint, this makes sense. Remembering a dangerous situation could save your life, while remembering what you had for lunch three Tuesdays ago rarely matters. The takeaway is that a healthy memory isn't one that holds on to everything. It's one that efficiently keeps what's useful and lets go of what isn't.</x:v>
      </x:c>
      <x:c r="S62" s="15" t="str">
        <x:v>D:of</x:v>
      </x:c>
      <x:c r="T62" s="15" t="str">
        <x:v>source_contract_preserved_subject_to_T08</x:v>
      </x:c>
      <x:c r="U62" s="15" t="str">
        <x:v>C_linguistic_segment_or_reframe_candidate</x:v>
      </x:c>
      <x:c r="V62" s="16" t="str">
        <x:v>not_started</x:v>
      </x:c>
      <x:c r="W62" s="16"/>
      <x:c r="X62" s="16"/>
      <x:c r="Y62" s="16"/>
      <x:c r="Z62" s="16"/>
      <x:c r="AA62" s="16"/>
      <x:c r="AB62" s="16"/>
      <x:c r="AC62" s="16"/>
      <x:c r="AD62" s="16"/>
      <x:c r="AE62" s="16"/>
      <x:c r="AF62" s="16"/>
      <x:c r="AG62" s="16"/>
      <x:c r="AH62" s="16"/>
      <x:c r="AI62" s="16"/>
      <x:c r="AJ62" s="16"/>
      <x:c r="AK62" s="16"/>
      <x:c r="AL62" s="16"/>
      <x:c r="AM62" s="16"/>
      <x:c r="AN62" s="16"/>
      <x:c r="AO62" s="16"/>
      <x:c r="AP62" s="16"/>
      <x:c r="AQ62" s="16"/>
      <x:c r="AR62" s="16"/>
      <x:c r="AS62" s="16"/>
      <x:c r="AT62" s="20"/>
      <x:c r="AU62" s="16"/>
      <x:c r="AV62" s="16"/>
      <x:c r="AW62" s="16" t="str">
        <x:v>pending</x:v>
      </x:c>
      <x:c r="AX62" s="17" t="str">
        <x:v>blocked_not_validated</x:v>
      </x:c>
      <x:c r="AY62" s="18" t="str">
        <x:f>IF(OR(C62="yes",X62="corrected",COUNTIF(Z62:AL62,"major")&gt;0,COUNTIF(Z62:AL62,"blocker")&gt;0,OR(AO62="repair",AO62="segment",AO62="replace",AO62="block")),"yes","no")</x:f>
        <x:v>no</x:v>
      </x:c>
      <x:c r="AZ62" s="18" t="str">
        <x:f>IF(AND(V62="reviewed",W62&gt;=1,X62&lt;&gt;"",Y62&lt;&gt;"",COUNTA(Z62:AL62)=13,AM62&lt;&gt;"",AN62&lt;&gt;"",AO62&lt;&gt;"",AP62&lt;&gt;"",AQ62&lt;&gt;"",AR62&lt;&gt;"",AS62="I_listened_at_1x_and_completed_all_required_fields",AT62&lt;&gt;"",AW62="adjudicated",OR(AY62="no",AND(AU62&lt;&gt;"",AV62&lt;&gt;""))),"complete","incomplete")</x:f>
        <x:v>incomplete</x:v>
      </x:c>
      <x:c r="BA62" s="18" t="str">
        <x:f>IF(AZ62="complete","none","faltan campos humanos, adjudicación o segunda revisión")</x:f>
        <x:v>faltan campos humanos, adjudicación o segunda revisión</x:v>
      </x:c>
    </x:row>
    <x:row r="63" ht="36" customHeight="1">
      <x:c r="A63" s="15" t="n">
        <x:v>62</x:v>
      </x:c>
      <x:c r="B63" s="15" t="str">
        <x:v>P1-CHOOSE</x:v>
      </x:c>
      <x:c r="C63" s="15" t="str">
        <x:v>no</x:v>
      </x:c>
      <x:c r="D63" s="15" t="str">
        <x:v>asset:toefl:set-7:part-5:listen-choose-1</x:v>
      </x:c>
      <x:c r="E63" s="15" t="str">
        <x:v>set-7</x:v>
      </x:c>
      <x:c r="F63" s="15" t="str">
        <x:v>Listen and Choose a Response</x:v>
      </x:c>
      <x:c r="G63" s="15" t="str">
        <x:v>/Users/josedavidduartesilva/Developer/idiomaswl/public/audio/toefl/set-7/listen-choose-1.mp3</x:v>
      </x:c>
      <x:c r="H63" s="19" t="n">
        <x:v>3.06</x:v>
      </x:c>
      <x:c r="I63" s="15" t="str">
        <x:v>P1</x:v>
      </x:c>
      <x:c r="J63" s="15" t="str">
        <x:v>100_percent_required_T08</x:v>
      </x:c>
      <x:c r="K63" s="15" t="str">
        <x:v>pass_automated_T06</x:v>
      </x:c>
      <x:c r="L63" s="15" t="str">
        <x:v>none</x:v>
      </x:c>
      <x:c r="M63" s="15" t="str">
        <x:v>none</x:v>
      </x:c>
      <x:c r="N63" s="15" t="str">
        <x:v>conserve_source_technical_candidate</x:v>
      </x:c>
      <x:c r="O63" s="15" t="str">
        <x:v>asr_candidate_recovered_pending_human</x:v>
      </x:c>
      <x:c r="P63" s="15" t="str">
        <x:v>LING-SOURCE-001;LING-STRESS-001</x:v>
      </x:c>
      <x:c r="Q63" s="15" t="str"/>
      <x:c r="R63" s="15" t="str">
        <x:v>What time works best for you to meet for lunch tomorrow?</x:v>
      </x:c>
      <x:c r="S63" s="15" t="str">
        <x:v>no_source_candidate</x:v>
      </x:c>
      <x:c r="T63" s="15" t="str">
        <x:v>manual_exchange_review_pass_pending_T08</x:v>
      </x:c>
      <x:c r="U63" s="15" t="str">
        <x:v>B_transcript_adjudication_candidate</x:v>
      </x:c>
      <x:c r="V63" s="16" t="str">
        <x:v>not_started</x:v>
      </x:c>
      <x:c r="W63" s="16"/>
      <x:c r="X63" s="16"/>
      <x:c r="Y63" s="16"/>
      <x:c r="Z63" s="16"/>
      <x:c r="AA63" s="16"/>
      <x:c r="AB63" s="16"/>
      <x:c r="AC63" s="16"/>
      <x:c r="AD63" s="16"/>
      <x:c r="AE63" s="16"/>
      <x:c r="AF63" s="16"/>
      <x:c r="AG63" s="16"/>
      <x:c r="AH63" s="16"/>
      <x:c r="AI63" s="16"/>
      <x:c r="AJ63" s="16"/>
      <x:c r="AK63" s="16"/>
      <x:c r="AL63" s="16"/>
      <x:c r="AM63" s="16"/>
      <x:c r="AN63" s="16"/>
      <x:c r="AO63" s="16"/>
      <x:c r="AP63" s="16"/>
      <x:c r="AQ63" s="16"/>
      <x:c r="AR63" s="16"/>
      <x:c r="AS63" s="16"/>
      <x:c r="AT63" s="20"/>
      <x:c r="AU63" s="16"/>
      <x:c r="AV63" s="16"/>
      <x:c r="AW63" s="16" t="str">
        <x:v>pending</x:v>
      </x:c>
      <x:c r="AX63" s="17" t="str">
        <x:v>blocked_not_validated</x:v>
      </x:c>
      <x:c r="AY63" s="18" t="str">
        <x:f>IF(OR(C63="yes",X63="corrected",COUNTIF(Z63:AL63,"major")&gt;0,COUNTIF(Z63:AL63,"blocker")&gt;0,OR(AO63="repair",AO63="segment",AO63="replace",AO63="block")),"yes","no")</x:f>
        <x:v>no</x:v>
      </x:c>
      <x:c r="AZ63" s="18" t="str">
        <x:f>IF(AND(V63="reviewed",W63&gt;=1,X63&lt;&gt;"",Y63&lt;&gt;"",COUNTA(Z63:AL63)=13,AM63&lt;&gt;"",AN63&lt;&gt;"",AO63&lt;&gt;"",AP63&lt;&gt;"",AQ63&lt;&gt;"",AR63&lt;&gt;"",AS63="I_listened_at_1x_and_completed_all_required_fields",AT63&lt;&gt;"",AW63="adjudicated",OR(AY63="no",AND(AU63&lt;&gt;"",AV63&lt;&gt;""))),"complete","incomplete")</x:f>
        <x:v>incomplete</x:v>
      </x:c>
      <x:c r="BA63" s="18" t="str">
        <x:f>IF(AZ63="complete","none","faltan campos humanos, adjudicación o segunda revisión")</x:f>
        <x:v>faltan campos humanos, adjudicación o segunda revisión</x:v>
      </x:c>
    </x:row>
    <x:row r="64" ht="36" customHeight="1">
      <x:c r="A64" s="15" t="n">
        <x:v>63</x:v>
      </x:c>
      <x:c r="B64" s="15" t="str">
        <x:v>P1-CHOOSE</x:v>
      </x:c>
      <x:c r="C64" s="15" t="str">
        <x:v>no</x:v>
      </x:c>
      <x:c r="D64" s="15" t="str">
        <x:v>asset:toefl:set-7:part-5:listen-choose-3</x:v>
      </x:c>
      <x:c r="E64" s="15" t="str">
        <x:v>set-7</x:v>
      </x:c>
      <x:c r="F64" s="15" t="str">
        <x:v>Listen and Choose a Response</x:v>
      </x:c>
      <x:c r="G64" s="15" t="str">
        <x:v>/Users/josedavidduartesilva/Developer/idiomaswl/public/audio/toefl/set-7/listen-choose-3.mp3</x:v>
      </x:c>
      <x:c r="H64" s="19" t="n">
        <x:v>2.98</x:v>
      </x:c>
      <x:c r="I64" s="15" t="str">
        <x:v>P1</x:v>
      </x:c>
      <x:c r="J64" s="15" t="str">
        <x:v>100_percent_required_T08</x:v>
      </x:c>
      <x:c r="K64" s="15" t="str">
        <x:v>pass_automated_T06</x:v>
      </x:c>
      <x:c r="L64" s="15" t="str">
        <x:v>none</x:v>
      </x:c>
      <x:c r="M64" s="15" t="str">
        <x:v>none</x:v>
      </x:c>
      <x:c r="N64" s="15" t="str">
        <x:v>conserve_source_technical_candidate</x:v>
      </x:c>
      <x:c r="O64" s="15" t="str">
        <x:v>asr_candidate_recovered_pending_human</x:v>
      </x:c>
      <x:c r="P64" s="15" t="str">
        <x:v>LING-SOURCE-001;LING-STRESS-001</x:v>
      </x:c>
      <x:c r="Q64" s="15" t="str"/>
      <x:c r="R64" s="15" t="str">
        <x:v>Excuse me, where can I print my assignment?</x:v>
      </x:c>
      <x:c r="S64" s="15" t="str">
        <x:v>no_source_candidate</x:v>
      </x:c>
      <x:c r="T64" s="15" t="str">
        <x:v>manual_exchange_review_pass_pending_T08</x:v>
      </x:c>
      <x:c r="U64" s="15" t="str">
        <x:v>B_transcript_adjudication_candidate</x:v>
      </x:c>
      <x:c r="V64" s="16" t="str">
        <x:v>not_started</x:v>
      </x:c>
      <x:c r="W64" s="16"/>
      <x:c r="X64" s="16"/>
      <x:c r="Y64" s="16"/>
      <x:c r="Z64" s="16"/>
      <x:c r="AA64" s="16"/>
      <x:c r="AB64" s="16"/>
      <x:c r="AC64" s="16"/>
      <x:c r="AD64" s="16"/>
      <x:c r="AE64" s="16"/>
      <x:c r="AF64" s="16"/>
      <x:c r="AG64" s="16"/>
      <x:c r="AH64" s="16"/>
      <x:c r="AI64" s="16"/>
      <x:c r="AJ64" s="16"/>
      <x:c r="AK64" s="16"/>
      <x:c r="AL64" s="16"/>
      <x:c r="AM64" s="16"/>
      <x:c r="AN64" s="16"/>
      <x:c r="AO64" s="16"/>
      <x:c r="AP64" s="16"/>
      <x:c r="AQ64" s="16"/>
      <x:c r="AR64" s="16"/>
      <x:c r="AS64" s="16"/>
      <x:c r="AT64" s="20"/>
      <x:c r="AU64" s="16"/>
      <x:c r="AV64" s="16"/>
      <x:c r="AW64" s="16" t="str">
        <x:v>pending</x:v>
      </x:c>
      <x:c r="AX64" s="17" t="str">
        <x:v>blocked_not_validated</x:v>
      </x:c>
      <x:c r="AY64" s="18" t="str">
        <x:f>IF(OR(C64="yes",X64="corrected",COUNTIF(Z64:AL64,"major")&gt;0,COUNTIF(Z64:AL64,"blocker")&gt;0,OR(AO64="repair",AO64="segment",AO64="replace",AO64="block")),"yes","no")</x:f>
        <x:v>no</x:v>
      </x:c>
      <x:c r="AZ64" s="18" t="str">
        <x:f>IF(AND(V64="reviewed",W64&gt;=1,X64&lt;&gt;"",Y64&lt;&gt;"",COUNTA(Z64:AL64)=13,AM64&lt;&gt;"",AN64&lt;&gt;"",AO64&lt;&gt;"",AP64&lt;&gt;"",AQ64&lt;&gt;"",AR64&lt;&gt;"",AS64="I_listened_at_1x_and_completed_all_required_fields",AT64&lt;&gt;"",AW64="adjudicated",OR(AY64="no",AND(AU64&lt;&gt;"",AV64&lt;&gt;""))),"complete","incomplete")</x:f>
        <x:v>incomplete</x:v>
      </x:c>
      <x:c r="BA64" s="18" t="str">
        <x:f>IF(AZ64="complete","none","faltan campos humanos, adjudicación o segunda revisión")</x:f>
        <x:v>faltan campos humanos, adjudicación o segunda revisión</x:v>
      </x:c>
    </x:row>
    <x:row r="65" ht="36" customHeight="1">
      <x:c r="A65" s="15" t="n">
        <x:v>64</x:v>
      </x:c>
      <x:c r="B65" s="15" t="str">
        <x:v>P1-CHOOSE</x:v>
      </x:c>
      <x:c r="C65" s="15" t="str">
        <x:v>no</x:v>
      </x:c>
      <x:c r="D65" s="15" t="str">
        <x:v>asset:toefl:set-7:part-5:listen-choose-4</x:v>
      </x:c>
      <x:c r="E65" s="15" t="str">
        <x:v>set-7</x:v>
      </x:c>
      <x:c r="F65" s="15" t="str">
        <x:v>Listen and Choose a Response</x:v>
      </x:c>
      <x:c r="G65" s="15" t="str">
        <x:v>/Users/josedavidduartesilva/Developer/idiomaswl/public/audio/toefl/set-7/listen-choose-4.mp3</x:v>
      </x:c>
      <x:c r="H65" s="19" t="n">
        <x:v>3.38</x:v>
      </x:c>
      <x:c r="I65" s="15" t="str">
        <x:v>P1</x:v>
      </x:c>
      <x:c r="J65" s="15" t="str">
        <x:v>100_percent_required_T08</x:v>
      </x:c>
      <x:c r="K65" s="15" t="str">
        <x:v>fail_actionable</x:v>
      </x:c>
      <x:c r="L65" s="15" t="str">
        <x:v>TECH-SIL-002</x:v>
      </x:c>
      <x:c r="M65" s="15" t="str">
        <x:v>none</x:v>
      </x:c>
      <x:c r="N65" s="15" t="str">
        <x:v>review_edges_create_versioned_trim_variant</x:v>
      </x:c>
      <x:c r="O65" s="15" t="str">
        <x:v>asr_candidate_recovered_pending_human</x:v>
      </x:c>
      <x:c r="P65" s="15" t="str">
        <x:v>LING-SOURCE-001;TECH-T06-FAIL;LING-STRESS-001</x:v>
      </x:c>
      <x:c r="Q65" s="15" t="str"/>
      <x:c r="R65" s="15" t="str">
        <x:v>Could you help me catch up on the class I missed today?</x:v>
      </x:c>
      <x:c r="S65" s="15" t="str">
        <x:v>no_source_candidate</x:v>
      </x:c>
      <x:c r="T65" s="15" t="str">
        <x:v>manual_exchange_review_pass_pending_T08</x:v>
      </x:c>
      <x:c r="U65" s="15" t="str">
        <x:v>B_transcript_adjudication_candidate</x:v>
      </x:c>
      <x:c r="V65" s="16" t="str">
        <x:v>not_started</x:v>
      </x:c>
      <x:c r="W65" s="16"/>
      <x:c r="X65" s="16"/>
      <x:c r="Y65" s="16"/>
      <x:c r="Z65" s="16"/>
      <x:c r="AA65" s="16"/>
      <x:c r="AB65" s="16"/>
      <x:c r="AC65" s="16"/>
      <x:c r="AD65" s="16"/>
      <x:c r="AE65" s="16"/>
      <x:c r="AF65" s="16"/>
      <x:c r="AG65" s="16"/>
      <x:c r="AH65" s="16"/>
      <x:c r="AI65" s="16"/>
      <x:c r="AJ65" s="16"/>
      <x:c r="AK65" s="16"/>
      <x:c r="AL65" s="16"/>
      <x:c r="AM65" s="16"/>
      <x:c r="AN65" s="16"/>
      <x:c r="AO65" s="16"/>
      <x:c r="AP65" s="16"/>
      <x:c r="AQ65" s="16"/>
      <x:c r="AR65" s="16"/>
      <x:c r="AS65" s="16"/>
      <x:c r="AT65" s="20"/>
      <x:c r="AU65" s="16"/>
      <x:c r="AV65" s="16"/>
      <x:c r="AW65" s="16" t="str">
        <x:v>pending</x:v>
      </x:c>
      <x:c r="AX65" s="17" t="str">
        <x:v>blocked_not_validated</x:v>
      </x:c>
      <x:c r="AY65" s="18" t="str">
        <x:f>IF(OR(C65="yes",X65="corrected",COUNTIF(Z65:AL65,"major")&gt;0,COUNTIF(Z65:AL65,"blocker")&gt;0,OR(AO65="repair",AO65="segment",AO65="replace",AO65="block")),"yes","no")</x:f>
        <x:v>no</x:v>
      </x:c>
      <x:c r="AZ65" s="18" t="str">
        <x:f>IF(AND(V65="reviewed",W65&gt;=1,X65&lt;&gt;"",Y65&lt;&gt;"",COUNTA(Z65:AL65)=13,AM65&lt;&gt;"",AN65&lt;&gt;"",AO65&lt;&gt;"",AP65&lt;&gt;"",AQ65&lt;&gt;"",AR65&lt;&gt;"",AS65="I_listened_at_1x_and_completed_all_required_fields",AT65&lt;&gt;"",AW65="adjudicated",OR(AY65="no",AND(AU65&lt;&gt;"",AV65&lt;&gt;""))),"complete","incomplete")</x:f>
        <x:v>incomplete</x:v>
      </x:c>
      <x:c r="BA65" s="18" t="str">
        <x:f>IF(AZ65="complete","none","faltan campos humanos, adjudicación o segunda revisión")</x:f>
        <x:v>faltan campos humanos, adjudicación o segunda revisión</x:v>
      </x:c>
    </x:row>
    <x:row r="66" ht="36" customHeight="1">
      <x:c r="A66" s="15" t="n">
        <x:v>65</x:v>
      </x:c>
      <x:c r="B66" s="15" t="str">
        <x:v>P1-CHOOSE</x:v>
      </x:c>
      <x:c r="C66" s="15" t="str">
        <x:v>no</x:v>
      </x:c>
      <x:c r="D66" s="15" t="str">
        <x:v>asset:toefl:set-7:part-5:listen-choose-5</x:v>
      </x:c>
      <x:c r="E66" s="15" t="str">
        <x:v>set-7</x:v>
      </x:c>
      <x:c r="F66" s="15" t="str">
        <x:v>Listen and Choose a Response</x:v>
      </x:c>
      <x:c r="G66" s="15" t="str">
        <x:v>/Users/josedavidduartesilva/Developer/idiomaswl/public/audio/toefl/set-7/listen-choose-5.mp3</x:v>
      </x:c>
      <x:c r="H66" s="19" t="n">
        <x:v>2.5</x:v>
      </x:c>
      <x:c r="I66" s="15" t="str">
        <x:v>P1</x:v>
      </x:c>
      <x:c r="J66" s="15" t="str">
        <x:v>100_percent_required_T08</x:v>
      </x:c>
      <x:c r="K66" s="15" t="str">
        <x:v>pass_with_actionable_warning</x:v>
      </x:c>
      <x:c r="L66" s="15" t="str">
        <x:v>none</x:v>
      </x:c>
      <x:c r="M66" s="15" t="str">
        <x:v>TECH-LDN-003</x:v>
      </x:c>
      <x:c r="N66" s="15" t="str">
        <x:v>review_warning_in_T08_before_conserve</x:v>
      </x:c>
      <x:c r="O66" s="15" t="str">
        <x:v>asr_candidate_recovered_pending_human</x:v>
      </x:c>
      <x:c r="P66" s="15" t="str">
        <x:v>LING-SOURCE-001;LING-STRESS-001;LING-EXCHANGE-001;LING-DUP-001</x:v>
      </x:c>
      <x:c r="Q66" s="15" t="str"/>
      <x:c r="R66" s="15" t="str">
        <x:v>How did your job interview go yesterday?</x:v>
      </x:c>
      <x:c r="S66" s="15" t="str">
        <x:v>no_source_candidate</x:v>
      </x:c>
      <x:c r="T66" s="15" t="str">
        <x:v>semantically_keyed_but_unnatural_response_pending_repair</x:v>
      </x:c>
      <x:c r="U66" s="15" t="str">
        <x:v>B_transcript_adjudication_candidate</x:v>
      </x:c>
      <x:c r="V66" s="16" t="str">
        <x:v>not_started</x:v>
      </x:c>
      <x:c r="W66" s="16"/>
      <x:c r="X66" s="16"/>
      <x:c r="Y66" s="16"/>
      <x:c r="Z66" s="16"/>
      <x:c r="AA66" s="16"/>
      <x:c r="AB66" s="16"/>
      <x:c r="AC66" s="16"/>
      <x:c r="AD66" s="16"/>
      <x:c r="AE66" s="16"/>
      <x:c r="AF66" s="16"/>
      <x:c r="AG66" s="16"/>
      <x:c r="AH66" s="16"/>
      <x:c r="AI66" s="16"/>
      <x:c r="AJ66" s="16"/>
      <x:c r="AK66" s="16"/>
      <x:c r="AL66" s="16"/>
      <x:c r="AM66" s="16"/>
      <x:c r="AN66" s="16"/>
      <x:c r="AO66" s="16"/>
      <x:c r="AP66" s="16"/>
      <x:c r="AQ66" s="16"/>
      <x:c r="AR66" s="16"/>
      <x:c r="AS66" s="16"/>
      <x:c r="AT66" s="20"/>
      <x:c r="AU66" s="16"/>
      <x:c r="AV66" s="16"/>
      <x:c r="AW66" s="16" t="str">
        <x:v>pending</x:v>
      </x:c>
      <x:c r="AX66" s="17" t="str">
        <x:v>blocked_not_validated</x:v>
      </x:c>
      <x:c r="AY66" s="18" t="str">
        <x:f>IF(OR(C66="yes",X66="corrected",COUNTIF(Z66:AL66,"major")&gt;0,COUNTIF(Z66:AL66,"blocker")&gt;0,OR(AO66="repair",AO66="segment",AO66="replace",AO66="block")),"yes","no")</x:f>
        <x:v>no</x:v>
      </x:c>
      <x:c r="AZ66" s="18" t="str">
        <x:f>IF(AND(V66="reviewed",W66&gt;=1,X66&lt;&gt;"",Y66&lt;&gt;"",COUNTA(Z66:AL66)=13,AM66&lt;&gt;"",AN66&lt;&gt;"",AO66&lt;&gt;"",AP66&lt;&gt;"",AQ66&lt;&gt;"",AR66&lt;&gt;"",AS66="I_listened_at_1x_and_completed_all_required_fields",AT66&lt;&gt;"",AW66="adjudicated",OR(AY66="no",AND(AU66&lt;&gt;"",AV66&lt;&gt;""))),"complete","incomplete")</x:f>
        <x:v>incomplete</x:v>
      </x:c>
      <x:c r="BA66" s="18" t="str">
        <x:f>IF(AZ66="complete","none","faltan campos humanos, adjudicación o segunda revisión")</x:f>
        <x:v>faltan campos humanos, adjudicación o segunda revisión</x:v>
      </x:c>
    </x:row>
    <x:row r="67" ht="36" customHeight="1">
      <x:c r="A67" s="15" t="n">
        <x:v>66</x:v>
      </x:c>
      <x:c r="B67" s="15" t="str">
        <x:v>P1-LONG</x:v>
      </x:c>
      <x:c r="C67" s="15" t="str">
        <x:v>no</x:v>
      </x:c>
      <x:c r="D67" s="15" t="str">
        <x:v>asset:toefl:set-7:part-6:conversation</x:v>
      </x:c>
      <x:c r="E67" s="15" t="str">
        <x:v>set-7</x:v>
      </x:c>
      <x:c r="F67" s="15" t="str">
        <x:v>Listen to a Conversation</x:v>
      </x:c>
      <x:c r="G67" s="15" t="str">
        <x:v>/Users/josedavidduartesilva/Developer/idiomaswl/public/audio/toefl/set-7/conversation.mp3</x:v>
      </x:c>
      <x:c r="H67" s="19" t="n">
        <x:v>56.64</x:v>
      </x:c>
      <x:c r="I67" s="15" t="str">
        <x:v>P1</x:v>
      </x:c>
      <x:c r="J67" s="15" t="str">
        <x:v>100_percent_required_T08_T15</x:v>
      </x:c>
      <x:c r="K67" s="15" t="str">
        <x:v>pass_with_actionable_warning</x:v>
      </x:c>
      <x:c r="L67" s="15" t="str">
        <x:v>none</x:v>
      </x:c>
      <x:c r="M67" s="15" t="str">
        <x:v>TECH-PEAK-003</x:v>
      </x:c>
      <x:c r="N67" s="15" t="str">
        <x:v>review_warning_in_T08_before_conserve</x:v>
      </x:c>
      <x:c r="O67" s="15" t="str">
        <x:v>source_material_diff_pending_human</x:v>
      </x:c>
      <x:c r="P67" s="15" t="str">
        <x:v>LING-DIFF-001;LING-CRIT-001;LING-LEN-001</x:v>
      </x:c>
      <x:c r="Q67" s="15" t="str">
        <x:v>WOMAN: Did you hear that the campus is starting a bike-sharing program next month?
MAN: Really? That's great. I've been thinking about how to get across campus faster. Walking from the dorms to the science building takes almost twenty minutes.
WOMAN: Exactly. Apparently there'll be stations at all the main buildings. You unlock a bike with an app, ride it where you need to go, and leave it at any station.
MAN: Nice. Is it free for students?
WOMAN: The first thirty minutes of each ride are free, which is more than enough to get anywhere on campus. After that it's a small fee, but honestly, who rides more than thirty minutes just to get to class?
MAN: True. My only concern is whether there'll be enough bikes during busy times. You know, right before nine a.m. classes, everyone's rushing.
WOMAN: That's a fair point. They said they'll track usage and add more bikes to the busiest stations. I guess we'll see how it goes.
MAN: Well, I'm definitely signing up. Anything to avoid that twenty-minute walk in the rain.</x:v>
      </x:c>
      <x:c r="R67" s="15" t="str">
        <x:v>Did you hear that the campus is starting a bike sharing program next month? Really? That's great. I've been thinking about how to get across campus faster. Walking from the dorms to the science building takes almost 20 minutes. Exactly. Apparently there'll be stations at all the main buildings. You unlock a bike with an app, ride it where you need to go, and leave it at any station. Nice. Is it free for students? The first 30 minutes of each ride are free, which is more than enough to get anywhere on campus. After that it's a small fee, but honestly, who rides more than 30 minutes just to get to class. True. My only concern is whether there'll be enough bikes during busy times. You know, right before 9am classes, everyone's rushing. That's a fair point. They said they'll track usage and add more bikes to the busiest stations. I guess we'll see how it goes. Well I'm definitely signing up. to avoid that 20 minute walk in the rain.</x:v>
      </x:c>
      <x:c r="S67" s="15" t="str">
        <x:v>D:a | S:m→am | D:anything</x:v>
      </x:c>
      <x:c r="T67" s="15" t="str">
        <x:v>source_contract_preserved_subject_to_T08</x:v>
      </x:c>
      <x:c r="U67" s="15" t="str">
        <x:v>C_linguistic_segment_or_reframe_candidate</x:v>
      </x:c>
      <x:c r="V67" s="16" t="str">
        <x:v>not_started</x:v>
      </x:c>
      <x:c r="W67" s="16"/>
      <x:c r="X67" s="16"/>
      <x:c r="Y67" s="16"/>
      <x:c r="Z67" s="16"/>
      <x:c r="AA67" s="16"/>
      <x:c r="AB67" s="16"/>
      <x:c r="AC67" s="16"/>
      <x:c r="AD67" s="16"/>
      <x:c r="AE67" s="16"/>
      <x:c r="AF67" s="16"/>
      <x:c r="AG67" s="16"/>
      <x:c r="AH67" s="16"/>
      <x:c r="AI67" s="16"/>
      <x:c r="AJ67" s="16"/>
      <x:c r="AK67" s="16"/>
      <x:c r="AL67" s="16"/>
      <x:c r="AM67" s="16"/>
      <x:c r="AN67" s="16"/>
      <x:c r="AO67" s="16"/>
      <x:c r="AP67" s="16"/>
      <x:c r="AQ67" s="16"/>
      <x:c r="AR67" s="16"/>
      <x:c r="AS67" s="16"/>
      <x:c r="AT67" s="20"/>
      <x:c r="AU67" s="16"/>
      <x:c r="AV67" s="16"/>
      <x:c r="AW67" s="16" t="str">
        <x:v>pending</x:v>
      </x:c>
      <x:c r="AX67" s="17" t="str">
        <x:v>blocked_not_validated</x:v>
      </x:c>
      <x:c r="AY67" s="18" t="str">
        <x:f>IF(OR(C67="yes",X67="corrected",COUNTIF(Z67:AL67,"major")&gt;0,COUNTIF(Z67:AL67,"blocker")&gt;0,OR(AO67="repair",AO67="segment",AO67="replace",AO67="block")),"yes","no")</x:f>
        <x:v>no</x:v>
      </x:c>
      <x:c r="AZ67" s="18" t="str">
        <x:f>IF(AND(V67="reviewed",W67&gt;=1,X67&lt;&gt;"",Y67&lt;&gt;"",COUNTA(Z67:AL67)=13,AM67&lt;&gt;"",AN67&lt;&gt;"",AO67&lt;&gt;"",AP67&lt;&gt;"",AQ67&lt;&gt;"",AR67&lt;&gt;"",AS67="I_listened_at_1x_and_completed_all_required_fields",AT67&lt;&gt;"",AW67="adjudicated",OR(AY67="no",AND(AU67&lt;&gt;"",AV67&lt;&gt;""))),"complete","incomplete")</x:f>
        <x:v>incomplete</x:v>
      </x:c>
      <x:c r="BA67" s="18" t="str">
        <x:f>IF(AZ67="complete","none","faltan campos humanos, adjudicación o segunda revisión")</x:f>
        <x:v>faltan campos humanos, adjudicación o segunda revisión</x:v>
      </x:c>
    </x:row>
    <x:row r="68" ht="36" customHeight="1">
      <x:c r="A68" s="15" t="n">
        <x:v>67</x:v>
      </x:c>
      <x:c r="B68" s="15" t="str">
        <x:v>P1-LONG</x:v>
      </x:c>
      <x:c r="C68" s="15" t="str">
        <x:v>no</x:v>
      </x:c>
      <x:c r="D68" s="15" t="str">
        <x:v>asset:toefl:set-7:part-7:announcement</x:v>
      </x:c>
      <x:c r="E68" s="15" t="str">
        <x:v>set-7</x:v>
      </x:c>
      <x:c r="F68" s="15" t="str">
        <x:v>Listen to an Announcement</x:v>
      </x:c>
      <x:c r="G68" s="15" t="str">
        <x:v>/Users/josedavidduartesilva/Developer/idiomaswl/public/audio/toefl/set-7/announcement.mp3</x:v>
      </x:c>
      <x:c r="H68" s="19" t="n">
        <x:v>42.82</x:v>
      </x:c>
      <x:c r="I68" s="15" t="str">
        <x:v>P1</x:v>
      </x:c>
      <x:c r="J68" s="15" t="str">
        <x:v>100_percent_required_T08_T15</x:v>
      </x:c>
      <x:c r="K68" s="15" t="str">
        <x:v>pass_automated_T06</x:v>
      </x:c>
      <x:c r="L68" s="15" t="str">
        <x:v>none</x:v>
      </x:c>
      <x:c r="M68" s="15" t="str">
        <x:v>none</x:v>
      </x:c>
      <x:c r="N68" s="15" t="str">
        <x:v>conserve_source_technical_candidate</x:v>
      </x:c>
      <x:c r="O68" s="15" t="str">
        <x:v>source_exact_normalized_supported_pending_human</x:v>
      </x:c>
      <x:c r="P68" s="15" t="str">
        <x:v>LING-LEN-001</x:v>
      </x:c>
      <x:c r="Q68" s="15" t="str">
        <x:v>Good afternoon. This is an announcement from the university library. Beginning next week, we are launching a new service for graduate students: extended loan periods for research materials. Instead of the standard three-week loan, graduate students may now borrow most books for up to twelve weeks, with the option to renew online.
Please note that high-demand items on course reserve are not included in this program and remain limited to short loan periods so that all students can access them. To take advantage of the extended loans, simply check out your materials as usual — the longer period will be applied automatically to eligible items based on your student status. If you have questions, our staff at the research help desk on the second floor will be glad to assist you.</x:v>
      </x:c>
      <x:c r="R68" s="15" t="str">
        <x:v>Good afternoon. This is an announcement from the University Library. Beginning next week, we are launching a new service for graduate students, extended loan periods for research materials. Instead of the standard three-week loan, graduate students may now borrow most books for up to 12 weeks with the option to renew online. Please note that high-demand items on course reserve are not included in this program and remain limited to short loan periods so that all students can access them. To take advantage of the extended loans, simply check out your materials as usual. The longer period will be applied automatically to eligible items based on your student status. If you have questions, our staff at the Research Help Desk on the second floor will be glad to assist you.</x:v>
      </x:c>
      <x:c r="S68" s="15" t="str">
        <x:v>none</x:v>
      </x:c>
      <x:c r="T68" s="15" t="str">
        <x:v>source_contract_preserved_subject_to_T08</x:v>
      </x:c>
      <x:c r="U68" s="15" t="str">
        <x:v>C_linguistic_segment_or_reframe_candidate</x:v>
      </x:c>
      <x:c r="V68" s="16" t="str">
        <x:v>not_started</x:v>
      </x:c>
      <x:c r="W68" s="16"/>
      <x:c r="X68" s="16"/>
      <x:c r="Y68" s="16"/>
      <x:c r="Z68" s="16"/>
      <x:c r="AA68" s="16"/>
      <x:c r="AB68" s="16"/>
      <x:c r="AC68" s="16"/>
      <x:c r="AD68" s="16"/>
      <x:c r="AE68" s="16"/>
      <x:c r="AF68" s="16"/>
      <x:c r="AG68" s="16"/>
      <x:c r="AH68" s="16"/>
      <x:c r="AI68" s="16"/>
      <x:c r="AJ68" s="16"/>
      <x:c r="AK68" s="16"/>
      <x:c r="AL68" s="16"/>
      <x:c r="AM68" s="16"/>
      <x:c r="AN68" s="16"/>
      <x:c r="AO68" s="16"/>
      <x:c r="AP68" s="16"/>
      <x:c r="AQ68" s="16"/>
      <x:c r="AR68" s="16"/>
      <x:c r="AS68" s="16"/>
      <x:c r="AT68" s="20"/>
      <x:c r="AU68" s="16"/>
      <x:c r="AV68" s="16"/>
      <x:c r="AW68" s="16" t="str">
        <x:v>pending</x:v>
      </x:c>
      <x:c r="AX68" s="17" t="str">
        <x:v>blocked_not_validated</x:v>
      </x:c>
      <x:c r="AY68" s="18" t="str">
        <x:f>IF(OR(C68="yes",X68="corrected",COUNTIF(Z68:AL68,"major")&gt;0,COUNTIF(Z68:AL68,"blocker")&gt;0,OR(AO68="repair",AO68="segment",AO68="replace",AO68="block")),"yes","no")</x:f>
        <x:v>no</x:v>
      </x:c>
      <x:c r="AZ68" s="18" t="str">
        <x:f>IF(AND(V68="reviewed",W68&gt;=1,X68&lt;&gt;"",Y68&lt;&gt;"",COUNTA(Z68:AL68)=13,AM68&lt;&gt;"",AN68&lt;&gt;"",AO68&lt;&gt;"",AP68&lt;&gt;"",AQ68&lt;&gt;"",AR68&lt;&gt;"",AS68="I_listened_at_1x_and_completed_all_required_fields",AT68&lt;&gt;"",AW68="adjudicated",OR(AY68="no",AND(AU68&lt;&gt;"",AV68&lt;&gt;""))),"complete","incomplete")</x:f>
        <x:v>incomplete</x:v>
      </x:c>
      <x:c r="BA68" s="18" t="str">
        <x:f>IF(AZ68="complete","none","faltan campos humanos, adjudicación o segunda revisión")</x:f>
        <x:v>faltan campos humanos, adjudicación o segunda revisión</x:v>
      </x:c>
    </x:row>
    <x:row r="69" ht="36" customHeight="1">
      <x:c r="A69" s="15" t="n">
        <x:v>68</x:v>
      </x:c>
      <x:c r="B69" s="15" t="str">
        <x:v>P1-LONG</x:v>
      </x:c>
      <x:c r="C69" s="15" t="str">
        <x:v>no</x:v>
      </x:c>
      <x:c r="D69" s="15" t="str">
        <x:v>asset:toefl:set-7:part-8:academic-talk</x:v>
      </x:c>
      <x:c r="E69" s="15" t="str">
        <x:v>set-7</x:v>
      </x:c>
      <x:c r="F69" s="15" t="str">
        <x:v>Listen to an Academic Talk</x:v>
      </x:c>
      <x:c r="G69" s="15" t="str">
        <x:v>/Users/josedavidduartesilva/Developer/idiomaswl/public/audio/toefl/set-7/academic-talk.mp3</x:v>
      </x:c>
      <x:c r="H69" s="19" t="n">
        <x:v>109.86</x:v>
      </x:c>
      <x:c r="I69" s="15" t="str">
        <x:v>P1</x:v>
      </x:c>
      <x:c r="J69" s="15" t="str">
        <x:v>100_percent_required_T08_T15</x:v>
      </x:c>
      <x:c r="K69" s="15" t="str">
        <x:v>fail_actionable</x:v>
      </x:c>
      <x:c r="L69" s="15" t="str">
        <x:v>TECH-LDN-002</x:v>
      </x:c>
      <x:c r="M69" s="15" t="str">
        <x:v>TECH-PEAK-003</x:v>
      </x:c>
      <x:c r="N69" s="15" t="str">
        <x:v>measure_gain_create_versioned_normalized_variant</x:v>
      </x:c>
      <x:c r="O69" s="15" t="str">
        <x:v>source_minor_diff_supported_pending_human</x:v>
      </x:c>
      <x:c r="P69" s="15" t="str">
        <x:v>LING-DIFF-001;TECH-T06-FAIL;LING-LEN-002</x:v>
      </x:c>
      <x:c r="Q69" s="15" t="str">
        <x:v>PROFESSOR: Today I want to explore a question that sounds simple but turns out to be surprisingly deep: why is the sky blue? Most of you have probably heard that it has something to do with the atmosphere scattering sunlight, and that's correct — but let's unpack what that actually means.
Sunlight looks white, but it's actually a mixture of all the colors of the rainbow, each with a different wavelength. Blue and violet light have short wavelengths; red and orange light have long ones. When sunlight enters the atmosphere, it collides with molecules of gas — mostly nitrogen and oxygen. These molecules scatter the light in all directions, but here's the key point: they scatter shorter wavelengths much more strongly than longer ones. This is called Rayleigh scattering.
Because blue light is scattered far more than red, the blue light bounces around the sky and reaches your eyes from every direction. That's why the whole sky appears blue, not just the area around the sun.
Now, a natural follow-up question: if violet light has an even shorter wavelength than blue, why isn't the sky violet? Two reasons. First, the sun emits less violet light than blue to begin with. Second, our eyes are simply more sensitive to blue than to violet. So the sky we perceive is blue.
And this same principle explains sunsets. When the sun is low on the horizon, its light travels through much more atmosphere to reach us. Along that longer path, most of the blue light has already been scattered away, leaving the reds and oranges to dominate. So the very same physics that makes the midday sky blue makes the evening sky red.</x:v>
      </x:c>
      <x:c r="R69" s="15" t="str">
        <x:v>Today I want to explore a question that sounds simple, but turns out to be surprisingly deep. Why is the sky blue? Most of you have probably heard that it has something to do with the atmosphere scattering sunlight. And that's correct. But let's unpack what that actually means. Sunlight looks white, but it's actually a mixture of all the colors of the rainbow. Each with a different wavelength. Blue and violet light have short wavelengths. and orange light have long ones. When sunlight enters the atmosphere, it collides with molecules of gas, mostly nitrogen and oxygen. These molecules scatter the light in all directions. But here's the key point. They scatter shorter wavelengths much more strongly than longer ones. This is called Rayleigh scattering. Because blue light is scattered far more than The blue light bounces around the sky and reaches your eyes from every direction. That's why the whole sky appears blue, not just the area around the sun. Now a natural follow-up question. If violet light has an even shorter wavelength than blue, why isn't the sky violet? Two reasons. First, the sun emits less violet light than blue to begin with. Second, our eyes are simply more sensitive to blue than to violet. So the sky we perceive is blue, and this same principle explains sunsets. When the sun is low on the horizon, its light travels through much more atmosphere to reach us. Along that longer path, most of the blue light has already been scattered away, leaving the reds and oranges to dominate. So the very same physics that makes the midday sky blue makes the evening sky red.</x:v>
      </x:c>
      <x:c r="S69" s="15" t="str">
        <x:v>D:red | D:red</x:v>
      </x:c>
      <x:c r="T69" s="15" t="str">
        <x:v>source_contract_preserved_subject_to_T08</x:v>
      </x:c>
      <x:c r="U69" s="15" t="str">
        <x:v>C_linguistic_segment_or_reframe_candidate</x:v>
      </x:c>
      <x:c r="V69" s="16" t="str">
        <x:v>not_started</x:v>
      </x:c>
      <x:c r="W69" s="16"/>
      <x:c r="X69" s="16"/>
      <x:c r="Y69" s="16"/>
      <x:c r="Z69" s="16"/>
      <x:c r="AA69" s="16"/>
      <x:c r="AB69" s="16"/>
      <x:c r="AC69" s="16"/>
      <x:c r="AD69" s="16"/>
      <x:c r="AE69" s="16"/>
      <x:c r="AF69" s="16"/>
      <x:c r="AG69" s="16"/>
      <x:c r="AH69" s="16"/>
      <x:c r="AI69" s="16"/>
      <x:c r="AJ69" s="16"/>
      <x:c r="AK69" s="16"/>
      <x:c r="AL69" s="16"/>
      <x:c r="AM69" s="16"/>
      <x:c r="AN69" s="16"/>
      <x:c r="AO69" s="16"/>
      <x:c r="AP69" s="16"/>
      <x:c r="AQ69" s="16"/>
      <x:c r="AR69" s="16"/>
      <x:c r="AS69" s="16"/>
      <x:c r="AT69" s="20"/>
      <x:c r="AU69" s="16"/>
      <x:c r="AV69" s="16"/>
      <x:c r="AW69" s="16" t="str">
        <x:v>pending</x:v>
      </x:c>
      <x:c r="AX69" s="17" t="str">
        <x:v>blocked_not_validated</x:v>
      </x:c>
      <x:c r="AY69" s="18" t="str">
        <x:f>IF(OR(C69="yes",X69="corrected",COUNTIF(Z69:AL69,"major")&gt;0,COUNTIF(Z69:AL69,"blocker")&gt;0,OR(AO69="repair",AO69="segment",AO69="replace",AO69="block")),"yes","no")</x:f>
        <x:v>no</x:v>
      </x:c>
      <x:c r="AZ69" s="18" t="str">
        <x:f>IF(AND(V69="reviewed",W69&gt;=1,X69&lt;&gt;"",Y69&lt;&gt;"",COUNTA(Z69:AL69)=13,AM69&lt;&gt;"",AN69&lt;&gt;"",AO69&lt;&gt;"",AP69&lt;&gt;"",AQ69&lt;&gt;"",AR69&lt;&gt;"",AS69="I_listened_at_1x_and_completed_all_required_fields",AT69&lt;&gt;"",AW69="adjudicated",OR(AY69="no",AND(AU69&lt;&gt;"",AV69&lt;&gt;""))),"complete","incomplete")</x:f>
        <x:v>incomplete</x:v>
      </x:c>
      <x:c r="BA69" s="18" t="str">
        <x:f>IF(AZ69="complete","none","faltan campos humanos, adjudicación o segunda revisión")</x:f>
        <x:v>faltan campos humanos, adjudicación o segunda revisión</x:v>
      </x:c>
    </x:row>
    <x:row r="70" ht="36" customHeight="1">
      <x:c r="A70" s="15" t="n">
        <x:v>69</x:v>
      </x:c>
      <x:c r="B70" s="15" t="str">
        <x:v>P1-CHOOSE</x:v>
      </x:c>
      <x:c r="C70" s="15" t="str">
        <x:v>no</x:v>
      </x:c>
      <x:c r="D70" s="15" t="str">
        <x:v>asset:toefl:set-8:part-5:listen-choose-1</x:v>
      </x:c>
      <x:c r="E70" s="15" t="str">
        <x:v>set-8</x:v>
      </x:c>
      <x:c r="F70" s="15" t="str">
        <x:v>Listen and Choose a Response</x:v>
      </x:c>
      <x:c r="G70" s="15" t="str">
        <x:v>/Users/josedavidduartesilva/Developer/idiomaswl/public/audio/toefl/set-8/listen-choose-1.mp3</x:v>
      </x:c>
      <x:c r="H70" s="19" t="n">
        <x:v>3.3</x:v>
      </x:c>
      <x:c r="I70" s="15" t="str">
        <x:v>P1</x:v>
      </x:c>
      <x:c r="J70" s="15" t="str">
        <x:v>100_percent_required_T08</x:v>
      </x:c>
      <x:c r="K70" s="15" t="str">
        <x:v>pass_automated_T06</x:v>
      </x:c>
      <x:c r="L70" s="15" t="str">
        <x:v>none</x:v>
      </x:c>
      <x:c r="M70" s="15" t="str">
        <x:v>none</x:v>
      </x:c>
      <x:c r="N70" s="15" t="str">
        <x:v>conserve_source_technical_candidate</x:v>
      </x:c>
      <x:c r="O70" s="15" t="str">
        <x:v>asr_candidate_recovered_pending_human</x:v>
      </x:c>
      <x:c r="P70" s="15" t="str">
        <x:v>LING-SOURCE-001;LING-STRESS-001</x:v>
      </x:c>
      <x:c r="Q70" s="15" t="str"/>
      <x:c r="R70" s="15" t="str">
        <x:v>Excuse me, is room 110 on this floor?</x:v>
      </x:c>
      <x:c r="S70" s="15" t="str">
        <x:v>no_source_candidate</x:v>
      </x:c>
      <x:c r="T70" s="15" t="str">
        <x:v>manual_exchange_review_pass_pending_T08</x:v>
      </x:c>
      <x:c r="U70" s="15" t="str">
        <x:v>B_transcript_adjudication_candidate</x:v>
      </x:c>
      <x:c r="V70" s="16" t="str">
        <x:v>not_started</x:v>
      </x:c>
      <x:c r="W70" s="16"/>
      <x:c r="X70" s="16"/>
      <x:c r="Y70" s="16"/>
      <x:c r="Z70" s="16"/>
      <x:c r="AA70" s="16"/>
      <x:c r="AB70" s="16"/>
      <x:c r="AC70" s="16"/>
      <x:c r="AD70" s="16"/>
      <x:c r="AE70" s="16"/>
      <x:c r="AF70" s="16"/>
      <x:c r="AG70" s="16"/>
      <x:c r="AH70" s="16"/>
      <x:c r="AI70" s="16"/>
      <x:c r="AJ70" s="16"/>
      <x:c r="AK70" s="16"/>
      <x:c r="AL70" s="16"/>
      <x:c r="AM70" s="16"/>
      <x:c r="AN70" s="16"/>
      <x:c r="AO70" s="16"/>
      <x:c r="AP70" s="16"/>
      <x:c r="AQ70" s="16"/>
      <x:c r="AR70" s="16"/>
      <x:c r="AS70" s="16"/>
      <x:c r="AT70" s="20"/>
      <x:c r="AU70" s="16"/>
      <x:c r="AV70" s="16"/>
      <x:c r="AW70" s="16" t="str">
        <x:v>pending</x:v>
      </x:c>
      <x:c r="AX70" s="17" t="str">
        <x:v>blocked_not_validated</x:v>
      </x:c>
      <x:c r="AY70" s="18" t="str">
        <x:f>IF(OR(C70="yes",X70="corrected",COUNTIF(Z70:AL70,"major")&gt;0,COUNTIF(Z70:AL70,"blocker")&gt;0,OR(AO70="repair",AO70="segment",AO70="replace",AO70="block")),"yes","no")</x:f>
        <x:v>no</x:v>
      </x:c>
      <x:c r="AZ70" s="18" t="str">
        <x:f>IF(AND(V70="reviewed",W70&gt;=1,X70&lt;&gt;"",Y70&lt;&gt;"",COUNTA(Z70:AL70)=13,AM70&lt;&gt;"",AN70&lt;&gt;"",AO70&lt;&gt;"",AP70&lt;&gt;"",AQ70&lt;&gt;"",AR70&lt;&gt;"",AS70="I_listened_at_1x_and_completed_all_required_fields",AT70&lt;&gt;"",AW70="adjudicated",OR(AY70="no",AND(AU70&lt;&gt;"",AV70&lt;&gt;""))),"complete","incomplete")</x:f>
        <x:v>incomplete</x:v>
      </x:c>
      <x:c r="BA70" s="18" t="str">
        <x:f>IF(AZ70="complete","none","faltan campos humanos, adjudicación o segunda revisión")</x:f>
        <x:v>faltan campos humanos, adjudicación o segunda revisión</x:v>
      </x:c>
    </x:row>
    <x:row r="71" ht="36" customHeight="1">
      <x:c r="A71" s="15" t="n">
        <x:v>70</x:v>
      </x:c>
      <x:c r="B71" s="15" t="str">
        <x:v>P1-CHOOSE</x:v>
      </x:c>
      <x:c r="C71" s="15" t="str">
        <x:v>no</x:v>
      </x:c>
      <x:c r="D71" s="15" t="str">
        <x:v>asset:toefl:set-8:part-5:listen-choose-2</x:v>
      </x:c>
      <x:c r="E71" s="15" t="str">
        <x:v>set-8</x:v>
      </x:c>
      <x:c r="F71" s="15" t="str">
        <x:v>Listen and Choose a Response</x:v>
      </x:c>
      <x:c r="G71" s="15" t="str">
        <x:v>/Users/josedavidduartesilva/Developer/idiomaswl/public/audio/toefl/set-8/listen-choose-2.mp3</x:v>
      </x:c>
      <x:c r="H71" s="19" t="n">
        <x:v>3.62</x:v>
      </x:c>
      <x:c r="I71" s="15" t="str">
        <x:v>P1</x:v>
      </x:c>
      <x:c r="J71" s="15" t="str">
        <x:v>100_percent_required_T08</x:v>
      </x:c>
      <x:c r="K71" s="15" t="str">
        <x:v>pass_automated_T06</x:v>
      </x:c>
      <x:c r="L71" s="15" t="str">
        <x:v>none</x:v>
      </x:c>
      <x:c r="M71" s="15" t="str">
        <x:v>none</x:v>
      </x:c>
      <x:c r="N71" s="15" t="str">
        <x:v>conserve_source_technical_candidate</x:v>
      </x:c>
      <x:c r="O71" s="15" t="str">
        <x:v>asr_candidate_recovered_pending_human</x:v>
      </x:c>
      <x:c r="P71" s="15" t="str">
        <x:v>LING-SOURCE-001;LING-STRESS-001</x:v>
      </x:c>
      <x:c r="Q71" s="15" t="str"/>
      <x:c r="R71" s="15" t="str">
        <x:v>We're going bowling after class tonight. Do you want to join us?</x:v>
      </x:c>
      <x:c r="S71" s="15" t="str">
        <x:v>no_source_candidate</x:v>
      </x:c>
      <x:c r="T71" s="15" t="str">
        <x:v>manual_exchange_review_pass_pending_T08</x:v>
      </x:c>
      <x:c r="U71" s="15" t="str">
        <x:v>B_transcript_adjudication_candidate</x:v>
      </x:c>
      <x:c r="V71" s="16" t="str">
        <x:v>not_started</x:v>
      </x:c>
      <x:c r="W71" s="16"/>
      <x:c r="X71" s="16"/>
      <x:c r="Y71" s="16"/>
      <x:c r="Z71" s="16"/>
      <x:c r="AA71" s="16"/>
      <x:c r="AB71" s="16"/>
      <x:c r="AC71" s="16"/>
      <x:c r="AD71" s="16"/>
      <x:c r="AE71" s="16"/>
      <x:c r="AF71" s="16"/>
      <x:c r="AG71" s="16"/>
      <x:c r="AH71" s="16"/>
      <x:c r="AI71" s="16"/>
      <x:c r="AJ71" s="16"/>
      <x:c r="AK71" s="16"/>
      <x:c r="AL71" s="16"/>
      <x:c r="AM71" s="16"/>
      <x:c r="AN71" s="16"/>
      <x:c r="AO71" s="16"/>
      <x:c r="AP71" s="16"/>
      <x:c r="AQ71" s="16"/>
      <x:c r="AR71" s="16"/>
      <x:c r="AS71" s="16"/>
      <x:c r="AT71" s="20"/>
      <x:c r="AU71" s="16"/>
      <x:c r="AV71" s="16"/>
      <x:c r="AW71" s="16" t="str">
        <x:v>pending</x:v>
      </x:c>
      <x:c r="AX71" s="17" t="str">
        <x:v>blocked_not_validated</x:v>
      </x:c>
      <x:c r="AY71" s="18" t="str">
        <x:f>IF(OR(C71="yes",X71="corrected",COUNTIF(Z71:AL71,"major")&gt;0,COUNTIF(Z71:AL71,"blocker")&gt;0,OR(AO71="repair",AO71="segment",AO71="replace",AO71="block")),"yes","no")</x:f>
        <x:v>no</x:v>
      </x:c>
      <x:c r="AZ71" s="18" t="str">
        <x:f>IF(AND(V71="reviewed",W71&gt;=1,X71&lt;&gt;"",Y71&lt;&gt;"",COUNTA(Z71:AL71)=13,AM71&lt;&gt;"",AN71&lt;&gt;"",AO71&lt;&gt;"",AP71&lt;&gt;"",AQ71&lt;&gt;"",AR71&lt;&gt;"",AS71="I_listened_at_1x_and_completed_all_required_fields",AT71&lt;&gt;"",AW71="adjudicated",OR(AY71="no",AND(AU71&lt;&gt;"",AV71&lt;&gt;""))),"complete","incomplete")</x:f>
        <x:v>incomplete</x:v>
      </x:c>
      <x:c r="BA71" s="18" t="str">
        <x:f>IF(AZ71="complete","none","faltan campos humanos, adjudicación o segunda revisión")</x:f>
        <x:v>faltan campos humanos, adjudicación o segunda revisión</x:v>
      </x:c>
    </x:row>
    <x:row r="72" ht="36" customHeight="1">
      <x:c r="A72" s="15" t="n">
        <x:v>71</x:v>
      </x:c>
      <x:c r="B72" s="15" t="str">
        <x:v>P1-CHOOSE</x:v>
      </x:c>
      <x:c r="C72" s="15" t="str">
        <x:v>no</x:v>
      </x:c>
      <x:c r="D72" s="15" t="str">
        <x:v>asset:toefl:set-8:part-5:listen-choose-3</x:v>
      </x:c>
      <x:c r="E72" s="15" t="str">
        <x:v>set-8</x:v>
      </x:c>
      <x:c r="F72" s="15" t="str">
        <x:v>Listen and Choose a Response</x:v>
      </x:c>
      <x:c r="G72" s="15" t="str">
        <x:v>/Users/josedavidduartesilva/Developer/idiomaswl/public/audio/toefl/set-8/listen-choose-3.mp3</x:v>
      </x:c>
      <x:c r="H72" s="19" t="n">
        <x:v>3.3</x:v>
      </x:c>
      <x:c r="I72" s="15" t="str">
        <x:v>P1</x:v>
      </x:c>
      <x:c r="J72" s="15" t="str">
        <x:v>100_percent_required_T08</x:v>
      </x:c>
      <x:c r="K72" s="15" t="str">
        <x:v>pass_automated_T06</x:v>
      </x:c>
      <x:c r="L72" s="15" t="str">
        <x:v>none</x:v>
      </x:c>
      <x:c r="M72" s="15" t="str">
        <x:v>none</x:v>
      </x:c>
      <x:c r="N72" s="15" t="str">
        <x:v>conserve_source_technical_candidate</x:v>
      </x:c>
      <x:c r="O72" s="15" t="str">
        <x:v>asr_candidate_recovered_pending_human</x:v>
      </x:c>
      <x:c r="P72" s="15" t="str">
        <x:v>LING-SOURCE-001;LING-STRESS-001</x:v>
      </x:c>
      <x:c r="Q72" s="15" t="str"/>
      <x:c r="R72" s="15" t="str">
        <x:v>Do you know where I can find out about the campus tour times?</x:v>
      </x:c>
      <x:c r="S72" s="15" t="str">
        <x:v>no_source_candidate</x:v>
      </x:c>
      <x:c r="T72" s="15" t="str">
        <x:v>manual_exchange_review_pass_pending_T08</x:v>
      </x:c>
      <x:c r="U72" s="15" t="str">
        <x:v>B_transcript_adjudication_candidate</x:v>
      </x:c>
      <x:c r="V72" s="16" t="str">
        <x:v>not_started</x:v>
      </x:c>
      <x:c r="W72" s="16"/>
      <x:c r="X72" s="16"/>
      <x:c r="Y72" s="16"/>
      <x:c r="Z72" s="16"/>
      <x:c r="AA72" s="16"/>
      <x:c r="AB72" s="16"/>
      <x:c r="AC72" s="16"/>
      <x:c r="AD72" s="16"/>
      <x:c r="AE72" s="16"/>
      <x:c r="AF72" s="16"/>
      <x:c r="AG72" s="16"/>
      <x:c r="AH72" s="16"/>
      <x:c r="AI72" s="16"/>
      <x:c r="AJ72" s="16"/>
      <x:c r="AK72" s="16"/>
      <x:c r="AL72" s="16"/>
      <x:c r="AM72" s="16"/>
      <x:c r="AN72" s="16"/>
      <x:c r="AO72" s="16"/>
      <x:c r="AP72" s="16"/>
      <x:c r="AQ72" s="16"/>
      <x:c r="AR72" s="16"/>
      <x:c r="AS72" s="16"/>
      <x:c r="AT72" s="20"/>
      <x:c r="AU72" s="16"/>
      <x:c r="AV72" s="16"/>
      <x:c r="AW72" s="16" t="str">
        <x:v>pending</x:v>
      </x:c>
      <x:c r="AX72" s="17" t="str">
        <x:v>blocked_not_validated</x:v>
      </x:c>
      <x:c r="AY72" s="18" t="str">
        <x:f>IF(OR(C72="yes",X72="corrected",COUNTIF(Z72:AL72,"major")&gt;0,COUNTIF(Z72:AL72,"blocker")&gt;0,OR(AO72="repair",AO72="segment",AO72="replace",AO72="block")),"yes","no")</x:f>
        <x:v>no</x:v>
      </x:c>
      <x:c r="AZ72" s="18" t="str">
        <x:f>IF(AND(V72="reviewed",W72&gt;=1,X72&lt;&gt;"",Y72&lt;&gt;"",COUNTA(Z72:AL72)=13,AM72&lt;&gt;"",AN72&lt;&gt;"",AO72&lt;&gt;"",AP72&lt;&gt;"",AQ72&lt;&gt;"",AR72&lt;&gt;"",AS72="I_listened_at_1x_and_completed_all_required_fields",AT72&lt;&gt;"",AW72="adjudicated",OR(AY72="no",AND(AU72&lt;&gt;"",AV72&lt;&gt;""))),"complete","incomplete")</x:f>
        <x:v>incomplete</x:v>
      </x:c>
      <x:c r="BA72" s="18" t="str">
        <x:f>IF(AZ72="complete","none","faltan campos humanos, adjudicación o segunda revisión")</x:f>
        <x:v>faltan campos humanos, adjudicación o segunda revisión</x:v>
      </x:c>
    </x:row>
    <x:row r="73" ht="36" customHeight="1">
      <x:c r="A73" s="15" t="n">
        <x:v>72</x:v>
      </x:c>
      <x:c r="B73" s="15" t="str">
        <x:v>P1-CHOOSE</x:v>
      </x:c>
      <x:c r="C73" s="15" t="str">
        <x:v>no</x:v>
      </x:c>
      <x:c r="D73" s="15" t="str">
        <x:v>asset:toefl:set-8:part-5:listen-choose-4</x:v>
      </x:c>
      <x:c r="E73" s="15" t="str">
        <x:v>set-8</x:v>
      </x:c>
      <x:c r="F73" s="15" t="str">
        <x:v>Listen and Choose a Response</x:v>
      </x:c>
      <x:c r="G73" s="15" t="str">
        <x:v>/Users/josedavidduartesilva/Developer/idiomaswl/public/audio/toefl/set-8/listen-choose-4.mp3</x:v>
      </x:c>
      <x:c r="H73" s="19" t="n">
        <x:v>4.34</x:v>
      </x:c>
      <x:c r="I73" s="15" t="str">
        <x:v>P1</x:v>
      </x:c>
      <x:c r="J73" s="15" t="str">
        <x:v>100_percent_required_T08</x:v>
      </x:c>
      <x:c r="K73" s="15" t="str">
        <x:v>fail_actionable</x:v>
      </x:c>
      <x:c r="L73" s="15" t="str">
        <x:v>TECH-SIL-002</x:v>
      </x:c>
      <x:c r="M73" s="15" t="str">
        <x:v>TECH-PEAK-003</x:v>
      </x:c>
      <x:c r="N73" s="15" t="str">
        <x:v>review_edges_create_versioned_trim_variant</x:v>
      </x:c>
      <x:c r="O73" s="15" t="str">
        <x:v>asr_candidate_recovered_pending_human</x:v>
      </x:c>
      <x:c r="P73" s="15" t="str">
        <x:v>LING-SOURCE-001;TECH-T06-FAIL;LING-STRESS-001</x:v>
      </x:c>
      <x:c r="Q73" s="15" t="str"/>
      <x:c r="R73" s="15" t="str">
        <x:v>I forgot my calculator for the exam. Do you have one I could borrow?</x:v>
      </x:c>
      <x:c r="S73" s="15" t="str">
        <x:v>no_source_candidate</x:v>
      </x:c>
      <x:c r="T73" s="15" t="str">
        <x:v>manual_exchange_review_pass_pending_T08</x:v>
      </x:c>
      <x:c r="U73" s="15" t="str">
        <x:v>B_transcript_adjudication_candidate</x:v>
      </x:c>
      <x:c r="V73" s="16" t="str">
        <x:v>not_started</x:v>
      </x:c>
      <x:c r="W73" s="16"/>
      <x:c r="X73" s="16"/>
      <x:c r="Y73" s="16"/>
      <x:c r="Z73" s="16"/>
      <x:c r="AA73" s="16"/>
      <x:c r="AB73" s="16"/>
      <x:c r="AC73" s="16"/>
      <x:c r="AD73" s="16"/>
      <x:c r="AE73" s="16"/>
      <x:c r="AF73" s="16"/>
      <x:c r="AG73" s="16"/>
      <x:c r="AH73" s="16"/>
      <x:c r="AI73" s="16"/>
      <x:c r="AJ73" s="16"/>
      <x:c r="AK73" s="16"/>
      <x:c r="AL73" s="16"/>
      <x:c r="AM73" s="16"/>
      <x:c r="AN73" s="16"/>
      <x:c r="AO73" s="16"/>
      <x:c r="AP73" s="16"/>
      <x:c r="AQ73" s="16"/>
      <x:c r="AR73" s="16"/>
      <x:c r="AS73" s="16"/>
      <x:c r="AT73" s="20"/>
      <x:c r="AU73" s="16"/>
      <x:c r="AV73" s="16"/>
      <x:c r="AW73" s="16" t="str">
        <x:v>pending</x:v>
      </x:c>
      <x:c r="AX73" s="17" t="str">
        <x:v>blocked_not_validated</x:v>
      </x:c>
      <x:c r="AY73" s="18" t="str">
        <x:f>IF(OR(C73="yes",X73="corrected",COUNTIF(Z73:AL73,"major")&gt;0,COUNTIF(Z73:AL73,"blocker")&gt;0,OR(AO73="repair",AO73="segment",AO73="replace",AO73="block")),"yes","no")</x:f>
        <x:v>no</x:v>
      </x:c>
      <x:c r="AZ73" s="18" t="str">
        <x:f>IF(AND(V73="reviewed",W73&gt;=1,X73&lt;&gt;"",Y73&lt;&gt;"",COUNTA(Z73:AL73)=13,AM73&lt;&gt;"",AN73&lt;&gt;"",AO73&lt;&gt;"",AP73&lt;&gt;"",AQ73&lt;&gt;"",AR73&lt;&gt;"",AS73="I_listened_at_1x_and_completed_all_required_fields",AT73&lt;&gt;"",AW73="adjudicated",OR(AY73="no",AND(AU73&lt;&gt;"",AV73&lt;&gt;""))),"complete","incomplete")</x:f>
        <x:v>incomplete</x:v>
      </x:c>
      <x:c r="BA73" s="18" t="str">
        <x:f>IF(AZ73="complete","none","faltan campos humanos, adjudicación o segunda revisión")</x:f>
        <x:v>faltan campos humanos, adjudicación o segunda revisión</x:v>
      </x:c>
    </x:row>
    <x:row r="74" ht="36" customHeight="1">
      <x:c r="A74" s="15" t="n">
        <x:v>73</x:v>
      </x:c>
      <x:c r="B74" s="15" t="str">
        <x:v>P1-CHOOSE</x:v>
      </x:c>
      <x:c r="C74" s="15" t="str">
        <x:v>no</x:v>
      </x:c>
      <x:c r="D74" s="15" t="str">
        <x:v>asset:toefl:set-8:part-5:listen-choose-5</x:v>
      </x:c>
      <x:c r="E74" s="15" t="str">
        <x:v>set-8</x:v>
      </x:c>
      <x:c r="F74" s="15" t="str">
        <x:v>Listen and Choose a Response</x:v>
      </x:c>
      <x:c r="G74" s="15" t="str">
        <x:v>/Users/josedavidduartesilva/Developer/idiomaswl/public/audio/toefl/set-8/listen-choose-5.mp3</x:v>
      </x:c>
      <x:c r="H74" s="19" t="n">
        <x:v>2.98</x:v>
      </x:c>
      <x:c r="I74" s="15" t="str">
        <x:v>P1</x:v>
      </x:c>
      <x:c r="J74" s="15" t="str">
        <x:v>100_percent_required_T08</x:v>
      </x:c>
      <x:c r="K74" s="15" t="str">
        <x:v>pass_with_actionable_warning</x:v>
      </x:c>
      <x:c r="L74" s="15" t="str">
        <x:v>none</x:v>
      </x:c>
      <x:c r="M74" s="15" t="str">
        <x:v>TECH-PEAK-003</x:v>
      </x:c>
      <x:c r="N74" s="15" t="str">
        <x:v>review_warning_in_T08_before_conserve</x:v>
      </x:c>
      <x:c r="O74" s="15" t="str">
        <x:v>asr_candidate_recovered_pending_human</x:v>
      </x:c>
      <x:c r="P74" s="15" t="str">
        <x:v>LING-SOURCE-001;LING-STRESS-001</x:v>
      </x:c>
      <x:c r="Q74" s="15" t="str"/>
      <x:c r="R74" s="15" t="str">
        <x:v>Did you get your chemistry test results back yet?</x:v>
      </x:c>
      <x:c r="S74" s="15" t="str">
        <x:v>no_source_candidate</x:v>
      </x:c>
      <x:c r="T74" s="15" t="str">
        <x:v>manual_exchange_review_pass_pending_T08</x:v>
      </x:c>
      <x:c r="U74" s="15" t="str">
        <x:v>B_transcript_adjudication_candidate</x:v>
      </x:c>
      <x:c r="V74" s="16" t="str">
        <x:v>not_started</x:v>
      </x:c>
      <x:c r="W74" s="16"/>
      <x:c r="X74" s="16"/>
      <x:c r="Y74" s="16"/>
      <x:c r="Z74" s="16"/>
      <x:c r="AA74" s="16"/>
      <x:c r="AB74" s="16"/>
      <x:c r="AC74" s="16"/>
      <x:c r="AD74" s="16"/>
      <x:c r="AE74" s="16"/>
      <x:c r="AF74" s="16"/>
      <x:c r="AG74" s="16"/>
      <x:c r="AH74" s="16"/>
      <x:c r="AI74" s="16"/>
      <x:c r="AJ74" s="16"/>
      <x:c r="AK74" s="16"/>
      <x:c r="AL74" s="16"/>
      <x:c r="AM74" s="16"/>
      <x:c r="AN74" s="16"/>
      <x:c r="AO74" s="16"/>
      <x:c r="AP74" s="16"/>
      <x:c r="AQ74" s="16"/>
      <x:c r="AR74" s="16"/>
      <x:c r="AS74" s="16"/>
      <x:c r="AT74" s="20"/>
      <x:c r="AU74" s="16"/>
      <x:c r="AV74" s="16"/>
      <x:c r="AW74" s="16" t="str">
        <x:v>pending</x:v>
      </x:c>
      <x:c r="AX74" s="17" t="str">
        <x:v>blocked_not_validated</x:v>
      </x:c>
      <x:c r="AY74" s="18" t="str">
        <x:f>IF(OR(C74="yes",X74="corrected",COUNTIF(Z74:AL74,"major")&gt;0,COUNTIF(Z74:AL74,"blocker")&gt;0,OR(AO74="repair",AO74="segment",AO74="replace",AO74="block")),"yes","no")</x:f>
        <x:v>no</x:v>
      </x:c>
      <x:c r="AZ74" s="18" t="str">
        <x:f>IF(AND(V74="reviewed",W74&gt;=1,X74&lt;&gt;"",Y74&lt;&gt;"",COUNTA(Z74:AL74)=13,AM74&lt;&gt;"",AN74&lt;&gt;"",AO74&lt;&gt;"",AP74&lt;&gt;"",AQ74&lt;&gt;"",AR74&lt;&gt;"",AS74="I_listened_at_1x_and_completed_all_required_fields",AT74&lt;&gt;"",AW74="adjudicated",OR(AY74="no",AND(AU74&lt;&gt;"",AV74&lt;&gt;""))),"complete","incomplete")</x:f>
        <x:v>incomplete</x:v>
      </x:c>
      <x:c r="BA74" s="18" t="str">
        <x:f>IF(AZ74="complete","none","faltan campos humanos, adjudicación o segunda revisión")</x:f>
        <x:v>faltan campos humanos, adjudicación o segunda revisión</x:v>
      </x:c>
    </x:row>
    <x:row r="75" ht="36" customHeight="1">
      <x:c r="A75" s="15" t="n">
        <x:v>74</x:v>
      </x:c>
      <x:c r="B75" s="15" t="str">
        <x:v>P1-LONG</x:v>
      </x:c>
      <x:c r="C75" s="15" t="str">
        <x:v>no</x:v>
      </x:c>
      <x:c r="D75" s="15" t="str">
        <x:v>asset:toefl:set-8:part-6:conversation</x:v>
      </x:c>
      <x:c r="E75" s="15" t="str">
        <x:v>set-8</x:v>
      </x:c>
      <x:c r="F75" s="15" t="str">
        <x:v>Listen to a Conversation</x:v>
      </x:c>
      <x:c r="G75" s="15" t="str">
        <x:v>/Users/josedavidduartesilva/Developer/idiomaswl/public/audio/toefl/set-8/conversation.mp3</x:v>
      </x:c>
      <x:c r="H75" s="19" t="n">
        <x:v>76.1</x:v>
      </x:c>
      <x:c r="I75" s="15" t="str">
        <x:v>P1</x:v>
      </x:c>
      <x:c r="J75" s="15" t="str">
        <x:v>100_percent_required_T08_T15</x:v>
      </x:c>
      <x:c r="K75" s="15" t="str">
        <x:v>pass_automated_T06</x:v>
      </x:c>
      <x:c r="L75" s="15" t="str">
        <x:v>none</x:v>
      </x:c>
      <x:c r="M75" s="15" t="str">
        <x:v>none</x:v>
      </x:c>
      <x:c r="N75" s="15" t="str">
        <x:v>conserve_source_technical_candidate</x:v>
      </x:c>
      <x:c r="O75" s="15" t="str">
        <x:v>source_material_diff_pending_human</x:v>
      </x:c>
      <x:c r="P75" s="15" t="str">
        <x:v>LING-DIFF-001;LING-CRIT-001;LING-LEN-001</x:v>
      </x:c>
      <x:c r="Q75" s="15" t="str">
        <x:v>STUDENT: Hi, I'm trying to find some articles for my history paper, but the database keeps saying I don't have access. Am I doing something wrong?
LIBRARIAN: Let me take a look. Which database are you using?
STUDENT: It's called Historical Archives Online. When I click on the full article, it asks me to pay.
LIBRARIAN: Ah, I see the problem. You need to log in through the university portal first, not go to the database's website directly. When you access it through our library page, the university's subscription covers the cost, so you won't be asked to pay.
STUDENT: Oh! I've just been searching on Google and clicking the first link. So I should always start from the library page?
LIBRARIAN: Exactly. Start from our "Databases" tab, log in with your student ID, and then search. Everything you find there will be free for you.
STUDENT: That's such a relief. I was about to give up. One more thing — some of the articles are really old. Are they reliable for a history paper?
LIBRARIAN: For history, older primary sources can actually be very valuable. But check whether it's a primary source — an original document — or a secondary one analyzing it. Your professor probably wants a mix of both.
STUDENT: Got it. Thank you so much, this helps a lot.</x:v>
      </x:c>
      <x:c r="R75" s="15" t="str">
        <x:v>Hi, I'm trying to find some articles for my history paper, but the database keeps saying I don't have access. Am I doing something wrong? Let me take a look. Which database are you using? It's called Historical Archives Online. When I click on the full article, it asks me to pay. Ah, I see the problem. You need to log in through the university portal first, not go to the database's website directly. To access it through our library page, the university's subscription covers the cost, so you won't be asked to pay. Oh, I've just been searching on Google and clicking the first link. So I should always start from the library page? Exactly. Start from our databases tab, log in with your student ID and then search. Everything you find there will be free for you. That's such a relief. I was about to give up. One more thing. Some of the articles are really old. Are they reliable for a history paper? For history, older primary sources can actually be very valuable. But check whether it's a primary source, an original document, or a secondary one analyzing it. Your professor probably wants a mix of both. Got it. Thank you so much. This helps a lot.</x:v>
      </x:c>
      <x:c r="S75" s="15" t="str">
        <x:v>D:when | S:you→to</x:v>
      </x:c>
      <x:c r="T75" s="15" t="str">
        <x:v>source_contract_preserved_subject_to_T08</x:v>
      </x:c>
      <x:c r="U75" s="15" t="str">
        <x:v>C_linguistic_segment_or_reframe_candidate</x:v>
      </x:c>
      <x:c r="V75" s="16" t="str">
        <x:v>not_started</x:v>
      </x:c>
      <x:c r="W75" s="16"/>
      <x:c r="X75" s="16"/>
      <x:c r="Y75" s="16"/>
      <x:c r="Z75" s="16"/>
      <x:c r="AA75" s="16"/>
      <x:c r="AB75" s="16"/>
      <x:c r="AC75" s="16"/>
      <x:c r="AD75" s="16"/>
      <x:c r="AE75" s="16"/>
      <x:c r="AF75" s="16"/>
      <x:c r="AG75" s="16"/>
      <x:c r="AH75" s="16"/>
      <x:c r="AI75" s="16"/>
      <x:c r="AJ75" s="16"/>
      <x:c r="AK75" s="16"/>
      <x:c r="AL75" s="16"/>
      <x:c r="AM75" s="16"/>
      <x:c r="AN75" s="16"/>
      <x:c r="AO75" s="16"/>
      <x:c r="AP75" s="16"/>
      <x:c r="AQ75" s="16"/>
      <x:c r="AR75" s="16"/>
      <x:c r="AS75" s="16"/>
      <x:c r="AT75" s="20"/>
      <x:c r="AU75" s="16"/>
      <x:c r="AV75" s="16"/>
      <x:c r="AW75" s="16" t="str">
        <x:v>pending</x:v>
      </x:c>
      <x:c r="AX75" s="17" t="str">
        <x:v>blocked_not_validated</x:v>
      </x:c>
      <x:c r="AY75" s="18" t="str">
        <x:f>IF(OR(C75="yes",X75="corrected",COUNTIF(Z75:AL75,"major")&gt;0,COUNTIF(Z75:AL75,"blocker")&gt;0,OR(AO75="repair",AO75="segment",AO75="replace",AO75="block")),"yes","no")</x:f>
        <x:v>no</x:v>
      </x:c>
      <x:c r="AZ75" s="18" t="str">
        <x:f>IF(AND(V75="reviewed",W75&gt;=1,X75&lt;&gt;"",Y75&lt;&gt;"",COUNTA(Z75:AL75)=13,AM75&lt;&gt;"",AN75&lt;&gt;"",AO75&lt;&gt;"",AP75&lt;&gt;"",AQ75&lt;&gt;"",AR75&lt;&gt;"",AS75="I_listened_at_1x_and_completed_all_required_fields",AT75&lt;&gt;"",AW75="adjudicated",OR(AY75="no",AND(AU75&lt;&gt;"",AV75&lt;&gt;""))),"complete","incomplete")</x:f>
        <x:v>incomplete</x:v>
      </x:c>
      <x:c r="BA75" s="18" t="str">
        <x:f>IF(AZ75="complete","none","faltan campos humanos, adjudicación o segunda revisión")</x:f>
        <x:v>faltan campos humanos, adjudicación o segunda revisión</x:v>
      </x:c>
    </x:row>
    <x:row r="76" ht="36" customHeight="1">
      <x:c r="A76" s="15" t="n">
        <x:v>75</x:v>
      </x:c>
      <x:c r="B76" s="15" t="str">
        <x:v>P1-LONG</x:v>
      </x:c>
      <x:c r="C76" s="15" t="str">
        <x:v>no</x:v>
      </x:c>
      <x:c r="D76" s="15" t="str">
        <x:v>asset:toefl:set-8:part-7:announcement</x:v>
      </x:c>
      <x:c r="E76" s="15" t="str">
        <x:v>set-8</x:v>
      </x:c>
      <x:c r="F76" s="15" t="str">
        <x:v>Listen to an Announcement</x:v>
      </x:c>
      <x:c r="G76" s="15" t="str">
        <x:v>/Users/josedavidduartesilva/Developer/idiomaswl/public/audio/toefl/set-8/announcement.mp3</x:v>
      </x:c>
      <x:c r="H76" s="19" t="n">
        <x:v>47.701</x:v>
      </x:c>
      <x:c r="I76" s="15" t="str">
        <x:v>P1</x:v>
      </x:c>
      <x:c r="J76" s="15" t="str">
        <x:v>100_percent_required_T08_T15</x:v>
      </x:c>
      <x:c r="K76" s="15" t="str">
        <x:v>pass_automated_T06</x:v>
      </x:c>
      <x:c r="L76" s="15" t="str">
        <x:v>none</x:v>
      </x:c>
      <x:c r="M76" s="15" t="str">
        <x:v>none</x:v>
      </x:c>
      <x:c r="N76" s="15" t="str">
        <x:v>conserve_source_technical_candidate</x:v>
      </x:c>
      <x:c r="O76" s="15" t="str">
        <x:v>source_material_diff_pending_human</x:v>
      </x:c>
      <x:c r="P76" s="15" t="str">
        <x:v>LING-DIFF-001;LING-CRIT-001;LING-LEN-001</x:v>
      </x:c>
      <x:c r="Q76" s="15" t="str">
        <x:v>Good morning, everyone. This is an important announcement regarding the final exam schedule. Due to a scheduling conflict, the economics final exam originally set for Monday, December 15, has been moved to Wednesday, December 17, at the same time, nine a.m., and in the same room, Hall 3.
Please update your calendars accordingly. If the new date creates a conflict with another exam, you must notify the examinations office by this Friday so that an alternative arrangement can be made. No conflicts will be resolved after that deadline. A revised schedule has been posted on the department website and emailed to all enrolled students. If you did not receive the email, please check that your contact information is up to date in the student system. Thank you for your attention.</x:v>
      </x:c>
      <x:c r="R76" s="15" t="str">
        <x:v>Good morning, everyone. This is an important announcement regarding the final exam schedule. Due to a scheduling conflict, the economics final exam originally set for Monday, December 15th has been moved to Wednesday, December 17th at the same time, 9 a.m. and in the same room, Hall 3. Please update your calendars accordingly. If the new date creates a conflict with another exam, you must notify the examinations office by this Friday so that an alternative arrangement can be made. No conflicts will be resolved after that deadline. A revised schedule has been posted on the department website and emailed to all enrolled students. If you did not receive the email, please check that your contact information is up to date in the student system. Thank you for your attention.</x:v>
      </x:c>
      <x:c r="S76" s="15" t="str">
        <x:v>S:15→15th | S:17→17th</x:v>
      </x:c>
      <x:c r="T76" s="15" t="str">
        <x:v>source_contract_preserved_subject_to_T08</x:v>
      </x:c>
      <x:c r="U76" s="15" t="str">
        <x:v>C_linguistic_segment_or_reframe_candidate</x:v>
      </x:c>
      <x:c r="V76" s="16" t="str">
        <x:v>not_started</x:v>
      </x:c>
      <x:c r="W76" s="16"/>
      <x:c r="X76" s="16"/>
      <x:c r="Y76" s="16"/>
      <x:c r="Z76" s="16"/>
      <x:c r="AA76" s="16"/>
      <x:c r="AB76" s="16"/>
      <x:c r="AC76" s="16"/>
      <x:c r="AD76" s="16"/>
      <x:c r="AE76" s="16"/>
      <x:c r="AF76" s="16"/>
      <x:c r="AG76" s="16"/>
      <x:c r="AH76" s="16"/>
      <x:c r="AI76" s="16"/>
      <x:c r="AJ76" s="16"/>
      <x:c r="AK76" s="16"/>
      <x:c r="AL76" s="16"/>
      <x:c r="AM76" s="16"/>
      <x:c r="AN76" s="16"/>
      <x:c r="AO76" s="16"/>
      <x:c r="AP76" s="16"/>
      <x:c r="AQ76" s="16"/>
      <x:c r="AR76" s="16"/>
      <x:c r="AS76" s="16"/>
      <x:c r="AT76" s="20"/>
      <x:c r="AU76" s="16"/>
      <x:c r="AV76" s="16"/>
      <x:c r="AW76" s="16" t="str">
        <x:v>pending</x:v>
      </x:c>
      <x:c r="AX76" s="17" t="str">
        <x:v>blocked_not_validated</x:v>
      </x:c>
      <x:c r="AY76" s="18" t="str">
        <x:f>IF(OR(C76="yes",X76="corrected",COUNTIF(Z76:AL76,"major")&gt;0,COUNTIF(Z76:AL76,"blocker")&gt;0,OR(AO76="repair",AO76="segment",AO76="replace",AO76="block")),"yes","no")</x:f>
        <x:v>no</x:v>
      </x:c>
      <x:c r="AZ76" s="18" t="str">
        <x:f>IF(AND(V76="reviewed",W76&gt;=1,X76&lt;&gt;"",Y76&lt;&gt;"",COUNTA(Z76:AL76)=13,AM76&lt;&gt;"",AN76&lt;&gt;"",AO76&lt;&gt;"",AP76&lt;&gt;"",AQ76&lt;&gt;"",AR76&lt;&gt;"",AS76="I_listened_at_1x_and_completed_all_required_fields",AT76&lt;&gt;"",AW76="adjudicated",OR(AY76="no",AND(AU76&lt;&gt;"",AV76&lt;&gt;""))),"complete","incomplete")</x:f>
        <x:v>incomplete</x:v>
      </x:c>
      <x:c r="BA76" s="18" t="str">
        <x:f>IF(AZ76="complete","none","faltan campos humanos, adjudicación o segunda revisión")</x:f>
        <x:v>faltan campos humanos, adjudicación o segunda revisión</x:v>
      </x:c>
    </x:row>
    <x:row r="77" ht="36" customHeight="1">
      <x:c r="A77" s="15" t="n">
        <x:v>76</x:v>
      </x:c>
      <x:c r="B77" s="15" t="str">
        <x:v>P1-LONG</x:v>
      </x:c>
      <x:c r="C77" s="15" t="str">
        <x:v>no</x:v>
      </x:c>
      <x:c r="D77" s="15" t="str">
        <x:v>asset:toefl:set-8:part-8:academic-talk</x:v>
      </x:c>
      <x:c r="E77" s="15" t="str">
        <x:v>set-8</x:v>
      </x:c>
      <x:c r="F77" s="15" t="str">
        <x:v>Listen to an Academic Talk</x:v>
      </x:c>
      <x:c r="G77" s="15" t="str">
        <x:v>/Users/josedavidduartesilva/Developer/idiomaswl/public/audio/toefl/set-8/academic-talk.mp3</x:v>
      </x:c>
      <x:c r="H77" s="19" t="n">
        <x:v>112.9</x:v>
      </x:c>
      <x:c r="I77" s="15" t="str">
        <x:v>P1</x:v>
      </x:c>
      <x:c r="J77" s="15" t="str">
        <x:v>100_percent_required_T08_T15</x:v>
      </x:c>
      <x:c r="K77" s="15" t="str">
        <x:v>fail_actionable</x:v>
      </x:c>
      <x:c r="L77" s="15" t="str">
        <x:v>TECH-LDN-002</x:v>
      </x:c>
      <x:c r="M77" s="15" t="str">
        <x:v>none</x:v>
      </x:c>
      <x:c r="N77" s="15" t="str">
        <x:v>measure_gain_create_versioned_normalized_variant</x:v>
      </x:c>
      <x:c r="O77" s="15" t="str">
        <x:v>source_material_diff_pending_human</x:v>
      </x:c>
      <x:c r="P77" s="15" t="str">
        <x:v>LING-DIFF-001;LING-CRIT-001;TECH-T06-FAIL;LING-LEN-002</x:v>
      </x:c>
      <x:c r="Q77" s="15" t="str">
        <x:v>PROFESSOR: I want to talk today about a clever strategy that some animals use to survive: mimicry. Mimicry is when one species evolves to resemble another. And it turns out there are two very different kinds, which are easy to confuse.
The first is called Batesian mimicry, named after the naturalist Henry Bates. Here, a harmless species evolves to look like a harmful or unpleasant one. Think of a harmless hoverfly that has the same black-and-yellow stripes as a stinging wasp. Predators that have learned to avoid wasps also avoid the hoverfly, even though it's completely defenseless. The mimic gets protection without having to invest in any actual defense — it's essentially bluffing.
The second kind is Müllerian mimicry, named after Fritz Müller. In this case, two or more genuinely harmful species evolve to resemble each other. Several different species of stinging bees and wasps, for example, share similar warning colors. Why would harmful species imitate each other? Because it makes the shared warning signal more effective. A young predator only has to have one bad experience to learn to avoid that entire pattern, rather than learning separately for each species. So all the harmful species benefit by sharing a common "warning uniform."
Here's the key contrast for your exam: in Batesian mimicry, the mimic is a liar — harmless but pretending to be dangerous. In Müllerian mimicry, everyone is telling the truth — they're all genuinely dangerous, and they cooperate by looking alike. Both strategies exploit the same thing: a predator's ability to learn and remember warning signals. Evolution, in a sense, is manipulating the predator's memory.</x:v>
      </x:c>
      <x:c r="R77" s="15" t="str">
        <x:v>I want to talk today about a clever strategy that some animals use to survive, mimicry. Mimicry is when one species evolves to resemble another, and it turns out there are two very different kinds which are easy to confuse. The first is called Batheesian mimicry, named after the naturalist Henry Bates. Here, a harmless species evolves to look like a harmful or unpleasant one. of a harmless hoverfly that has the same black and yellow stripes as a stinging wasp. Predators that have learned to avoid wasps also avoid the hoverfly, even though it's completely defenseless. The mimic gets protection without having to invest in any actual defense. It's essentially bluffing. The second kind is Mullerian mimicry, named after Fritz Müller. In this case, two or more genuinely harmful species evolve to resemble each other. Several different species of stinging bees and wasps, for example, share similar warning colors. Why would harmful species imitate each other? Because it makes the shared warning signal more effective. A young predator only has to have one bad experience to learn to avoid that entire pattern, rather than learning separately for each species. So all the harmful species benefit by sharing a common, warning uniform. Here's the key contrast for your exam. In Batesian mimicry, the mimic is a liar, harmless but pretending to be dangerous. In Mulerian mimicry, everyone is telling the truth. They're all genuinely dangerous and they cooperate by looking alike. Both strategies exploit the same thing. A predator's ability to learn and remember warning signals. Evolution, in a sense, is manipulating the predator's memory.</x:v>
      </x:c>
      <x:c r="S77" s="15" t="str">
        <x:v>S:batesian→batheesian | D:think | S:mullerian→mulerian</x:v>
      </x:c>
      <x:c r="T77" s="15" t="str">
        <x:v>source_contract_preserved_subject_to_T08</x:v>
      </x:c>
      <x:c r="U77" s="15" t="str">
        <x:v>C_linguistic_segment_or_reframe_candidate</x:v>
      </x:c>
      <x:c r="V77" s="16" t="str">
        <x:v>not_started</x:v>
      </x:c>
      <x:c r="W77" s="16"/>
      <x:c r="X77" s="16"/>
      <x:c r="Y77" s="16"/>
      <x:c r="Z77" s="16"/>
      <x:c r="AA77" s="16"/>
      <x:c r="AB77" s="16"/>
      <x:c r="AC77" s="16"/>
      <x:c r="AD77" s="16"/>
      <x:c r="AE77" s="16"/>
      <x:c r="AF77" s="16"/>
      <x:c r="AG77" s="16"/>
      <x:c r="AH77" s="16"/>
      <x:c r="AI77" s="16"/>
      <x:c r="AJ77" s="16"/>
      <x:c r="AK77" s="16"/>
      <x:c r="AL77" s="16"/>
      <x:c r="AM77" s="16"/>
      <x:c r="AN77" s="16"/>
      <x:c r="AO77" s="16"/>
      <x:c r="AP77" s="16"/>
      <x:c r="AQ77" s="16"/>
      <x:c r="AR77" s="16"/>
      <x:c r="AS77" s="16"/>
      <x:c r="AT77" s="20"/>
      <x:c r="AU77" s="16"/>
      <x:c r="AV77" s="16"/>
      <x:c r="AW77" s="16" t="str">
        <x:v>pending</x:v>
      </x:c>
      <x:c r="AX77" s="17" t="str">
        <x:v>blocked_not_validated</x:v>
      </x:c>
      <x:c r="AY77" s="18" t="str">
        <x:f>IF(OR(C77="yes",X77="corrected",COUNTIF(Z77:AL77,"major")&gt;0,COUNTIF(Z77:AL77,"blocker")&gt;0,OR(AO77="repair",AO77="segment",AO77="replace",AO77="block")),"yes","no")</x:f>
        <x:v>no</x:v>
      </x:c>
      <x:c r="AZ77" s="18" t="str">
        <x:f>IF(AND(V77="reviewed",W77&gt;=1,X77&lt;&gt;"",Y77&lt;&gt;"",COUNTA(Z77:AL77)=13,AM77&lt;&gt;"",AN77&lt;&gt;"",AO77&lt;&gt;"",AP77&lt;&gt;"",AQ77&lt;&gt;"",AR77&lt;&gt;"",AS77="I_listened_at_1x_and_completed_all_required_fields",AT77&lt;&gt;"",AW77="adjudicated",OR(AY77="no",AND(AU77&lt;&gt;"",AV77&lt;&gt;""))),"complete","incomplete")</x:f>
        <x:v>incomplete</x:v>
      </x:c>
      <x:c r="BA77" s="18" t="str">
        <x:f>IF(AZ77="complete","none","faltan campos humanos, adjudicación o segunda revisión")</x:f>
        <x:v>faltan campos humanos, adjudicación o segunda revisión</x:v>
      </x:c>
    </x:row>
    <x:row r="78" ht="36" customHeight="1">
      <x:c r="A78" s="15" t="n">
        <x:v>77</x:v>
      </x:c>
      <x:c r="B78" s="15" t="str">
        <x:v>P1-REPEAT</x:v>
      </x:c>
      <x:c r="C78" s="15" t="str">
        <x:v>no</x:v>
      </x:c>
      <x:c r="D78" s="15" t="str">
        <x:v>asset:toefl:set-8:part-12:repeat-5</x:v>
      </x:c>
      <x:c r="E78" s="15" t="str">
        <x:v>set-8</x:v>
      </x:c>
      <x:c r="F78" s="15" t="str">
        <x:v>Listen and Repeat</x:v>
      </x:c>
      <x:c r="G78" s="15" t="str">
        <x:v>/Users/josedavidduartesilva/Developer/idiomaswl/public/audio/toefl/set-8/repeat-5.mp3</x:v>
      </x:c>
      <x:c r="H78" s="19" t="n">
        <x:v>6.02</x:v>
      </x:c>
      <x:c r="I78" s="15" t="str">
        <x:v>P1</x:v>
      </x:c>
      <x:c r="J78" s="15" t="str">
        <x:v>100_percent_required_T08</x:v>
      </x:c>
      <x:c r="K78" s="15" t="str">
        <x:v>pass_automated_T06</x:v>
      </x:c>
      <x:c r="L78" s="15" t="str">
        <x:v>none</x:v>
      </x:c>
      <x:c r="M78" s="15" t="str">
        <x:v>none</x:v>
      </x:c>
      <x:c r="N78" s="15" t="str">
        <x:v>conserve_source_technical_candidate</x:v>
      </x:c>
      <x:c r="O78" s="15" t="str">
        <x:v>source_material_diff_pending_human</x:v>
      </x:c>
      <x:c r="P78" s="15" t="str">
        <x:v>LING-DIFF-001</x:v>
      </x:c>
      <x:c r="Q78" s="15" t="str">
        <x:v>Although the storm caused some delays, all the passengers eventually reached their destinations safely.</x:v>
      </x:c>
      <x:c r="R78" s="15" t="str">
        <x:v>Although the storm caused some delays, all the passengers eventually reached their destination safely.</x:v>
      </x:c>
      <x:c r="S78" s="15" t="str">
        <x:v>S:destinations→destination</x:v>
      </x:c>
      <x:c r="T78" s="15" t="str">
        <x:v>source_contract_preserved_subject_to_T08</x:v>
      </x:c>
      <x:c r="U78" s="15" t="str">
        <x:v>B_linguistic_adjudication_or_repair_candidate</x:v>
      </x:c>
      <x:c r="V78" s="16" t="str">
        <x:v>not_started</x:v>
      </x:c>
      <x:c r="W78" s="16"/>
      <x:c r="X78" s="16"/>
      <x:c r="Y78" s="16"/>
      <x:c r="Z78" s="16"/>
      <x:c r="AA78" s="16"/>
      <x:c r="AB78" s="16"/>
      <x:c r="AC78" s="16"/>
      <x:c r="AD78" s="16"/>
      <x:c r="AE78" s="16"/>
      <x:c r="AF78" s="16"/>
      <x:c r="AG78" s="16"/>
      <x:c r="AH78" s="16"/>
      <x:c r="AI78" s="16"/>
      <x:c r="AJ78" s="16"/>
      <x:c r="AK78" s="16"/>
      <x:c r="AL78" s="16"/>
      <x:c r="AM78" s="16"/>
      <x:c r="AN78" s="16"/>
      <x:c r="AO78" s="16"/>
      <x:c r="AP78" s="16"/>
      <x:c r="AQ78" s="16"/>
      <x:c r="AR78" s="16"/>
      <x:c r="AS78" s="16"/>
      <x:c r="AT78" s="20"/>
      <x:c r="AU78" s="16"/>
      <x:c r="AV78" s="16"/>
      <x:c r="AW78" s="16" t="str">
        <x:v>pending</x:v>
      </x:c>
      <x:c r="AX78" s="17" t="str">
        <x:v>blocked_not_validated</x:v>
      </x:c>
      <x:c r="AY78" s="18" t="str">
        <x:f>IF(OR(C78="yes",X78="corrected",COUNTIF(Z78:AL78,"major")&gt;0,COUNTIF(Z78:AL78,"blocker")&gt;0,OR(AO78="repair",AO78="segment",AO78="replace",AO78="block")),"yes","no")</x:f>
        <x:v>no</x:v>
      </x:c>
      <x:c r="AZ78" s="18" t="str">
        <x:f>IF(AND(V78="reviewed",W78&gt;=1,X78&lt;&gt;"",Y78&lt;&gt;"",COUNTA(Z78:AL78)=13,AM78&lt;&gt;"",AN78&lt;&gt;"",AO78&lt;&gt;"",AP78&lt;&gt;"",AQ78&lt;&gt;"",AR78&lt;&gt;"",AS78="I_listened_at_1x_and_completed_all_required_fields",AT78&lt;&gt;"",AW78="adjudicated",OR(AY78="no",AND(AU78&lt;&gt;"",AV78&lt;&gt;""))),"complete","incomplete")</x:f>
        <x:v>incomplete</x:v>
      </x:c>
      <x:c r="BA78" s="18" t="str">
        <x:f>IF(AZ78="complete","none","faltan campos humanos, adjudicación o segunda revisión")</x:f>
        <x:v>faltan campos humanos, adjudicación o segunda revisión</x:v>
      </x:c>
    </x:row>
    <x:row r="79" ht="36" customHeight="1">
      <x:c r="A79" s="15" t="n">
        <x:v>78</x:v>
      </x:c>
      <x:c r="B79" s="15" t="str">
        <x:v>P1-CHOOSE</x:v>
      </x:c>
      <x:c r="C79" s="15" t="str">
        <x:v>no</x:v>
      </x:c>
      <x:c r="D79" s="15" t="str">
        <x:v>asset:toefl:set-9:part-5:listen-choose-1</x:v>
      </x:c>
      <x:c r="E79" s="15" t="str">
        <x:v>set-9</x:v>
      </x:c>
      <x:c r="F79" s="15" t="str">
        <x:v>Listen and Choose a Response</x:v>
      </x:c>
      <x:c r="G79" s="15" t="str">
        <x:v>/Users/josedavidduartesilva/Developer/idiomaswl/public/audio/toefl/set-9/listen-choose-1.mp3</x:v>
      </x:c>
      <x:c r="H79" s="19" t="n">
        <x:v>3.22</x:v>
      </x:c>
      <x:c r="I79" s="15" t="str">
        <x:v>P1</x:v>
      </x:c>
      <x:c r="J79" s="15" t="str">
        <x:v>100_percent_required_T08</x:v>
      </x:c>
      <x:c r="K79" s="15" t="str">
        <x:v>pass_automated_T06</x:v>
      </x:c>
      <x:c r="L79" s="15" t="str">
        <x:v>none</x:v>
      </x:c>
      <x:c r="M79" s="15" t="str">
        <x:v>none</x:v>
      </x:c>
      <x:c r="N79" s="15" t="str">
        <x:v>conserve_source_technical_candidate</x:v>
      </x:c>
      <x:c r="O79" s="15" t="str">
        <x:v>asr_candidate_recovered_pending_human</x:v>
      </x:c>
      <x:c r="P79" s="15" t="str">
        <x:v>LING-SOURCE-001;LING-STRESS-001</x:v>
      </x:c>
      <x:c r="Q79" s="15" t="str"/>
      <x:c r="R79" s="15" t="str">
        <x:v>Excuse me, can you tell me where the library is?</x:v>
      </x:c>
      <x:c r="S79" s="15" t="str">
        <x:v>no_source_candidate</x:v>
      </x:c>
      <x:c r="T79" s="15" t="str">
        <x:v>manual_exchange_review_pass_pending_T08</x:v>
      </x:c>
      <x:c r="U79" s="15" t="str">
        <x:v>B_transcript_adjudication_candidate</x:v>
      </x:c>
      <x:c r="V79" s="16" t="str">
        <x:v>not_started</x:v>
      </x:c>
      <x:c r="W79" s="16"/>
      <x:c r="X79" s="16"/>
      <x:c r="Y79" s="16"/>
      <x:c r="Z79" s="16"/>
      <x:c r="AA79" s="16"/>
      <x:c r="AB79" s="16"/>
      <x:c r="AC79" s="16"/>
      <x:c r="AD79" s="16"/>
      <x:c r="AE79" s="16"/>
      <x:c r="AF79" s="16"/>
      <x:c r="AG79" s="16"/>
      <x:c r="AH79" s="16"/>
      <x:c r="AI79" s="16"/>
      <x:c r="AJ79" s="16"/>
      <x:c r="AK79" s="16"/>
      <x:c r="AL79" s="16"/>
      <x:c r="AM79" s="16"/>
      <x:c r="AN79" s="16"/>
      <x:c r="AO79" s="16"/>
      <x:c r="AP79" s="16"/>
      <x:c r="AQ79" s="16"/>
      <x:c r="AR79" s="16"/>
      <x:c r="AS79" s="16"/>
      <x:c r="AT79" s="20"/>
      <x:c r="AU79" s="16"/>
      <x:c r="AV79" s="16"/>
      <x:c r="AW79" s="16" t="str">
        <x:v>pending</x:v>
      </x:c>
      <x:c r="AX79" s="17" t="str">
        <x:v>blocked_not_validated</x:v>
      </x:c>
      <x:c r="AY79" s="18" t="str">
        <x:f>IF(OR(C79="yes",X79="corrected",COUNTIF(Z79:AL79,"major")&gt;0,COUNTIF(Z79:AL79,"blocker")&gt;0,OR(AO79="repair",AO79="segment",AO79="replace",AO79="block")),"yes","no")</x:f>
        <x:v>no</x:v>
      </x:c>
      <x:c r="AZ79" s="18" t="str">
        <x:f>IF(AND(V79="reviewed",W79&gt;=1,X79&lt;&gt;"",Y79&lt;&gt;"",COUNTA(Z79:AL79)=13,AM79&lt;&gt;"",AN79&lt;&gt;"",AO79&lt;&gt;"",AP79&lt;&gt;"",AQ79&lt;&gt;"",AR79&lt;&gt;"",AS79="I_listened_at_1x_and_completed_all_required_fields",AT79&lt;&gt;"",AW79="adjudicated",OR(AY79="no",AND(AU79&lt;&gt;"",AV79&lt;&gt;""))),"complete","incomplete")</x:f>
        <x:v>incomplete</x:v>
      </x:c>
      <x:c r="BA79" s="18" t="str">
        <x:f>IF(AZ79="complete","none","faltan campos humanos, adjudicación o segunda revisión")</x:f>
        <x:v>faltan campos humanos, adjudicación o segunda revisión</x:v>
      </x:c>
    </x:row>
    <x:row r="80" ht="36" customHeight="1">
      <x:c r="A80" s="15" t="n">
        <x:v>79</x:v>
      </x:c>
      <x:c r="B80" s="15" t="str">
        <x:v>P1-CHOOSE</x:v>
      </x:c>
      <x:c r="C80" s="15" t="str">
        <x:v>no</x:v>
      </x:c>
      <x:c r="D80" s="15" t="str">
        <x:v>asset:toefl:set-9:part-5:listen-choose-2</x:v>
      </x:c>
      <x:c r="E80" s="15" t="str">
        <x:v>set-9</x:v>
      </x:c>
      <x:c r="F80" s="15" t="str">
        <x:v>Listen and Choose a Response</x:v>
      </x:c>
      <x:c r="G80" s="15" t="str">
        <x:v>/Users/josedavidduartesilva/Developer/idiomaswl/public/audio/toefl/set-9/listen-choose-2.mp3</x:v>
      </x:c>
      <x:c r="H80" s="19" t="n">
        <x:v>3.22</x:v>
      </x:c>
      <x:c r="I80" s="15" t="str">
        <x:v>P1</x:v>
      </x:c>
      <x:c r="J80" s="15" t="str">
        <x:v>100_percent_required_T08</x:v>
      </x:c>
      <x:c r="K80" s="15" t="str">
        <x:v>pass_automated_T06</x:v>
      </x:c>
      <x:c r="L80" s="15" t="str">
        <x:v>none</x:v>
      </x:c>
      <x:c r="M80" s="15" t="str">
        <x:v>none</x:v>
      </x:c>
      <x:c r="N80" s="15" t="str">
        <x:v>conserve_source_technical_candidate</x:v>
      </x:c>
      <x:c r="O80" s="15" t="str">
        <x:v>asr_candidate_recovered_pending_human</x:v>
      </x:c>
      <x:c r="P80" s="15" t="str">
        <x:v>LING-SOURCE-001;LING-STRESS-001</x:v>
      </x:c>
      <x:c r="Q80" s="15" t="str"/>
      <x:c r="R80" s="15" t="str">
        <x:v>Would you like to grab coffee with me at two o'clock?</x:v>
      </x:c>
      <x:c r="S80" s="15" t="str">
        <x:v>no_source_candidate</x:v>
      </x:c>
      <x:c r="T80" s="15" t="str">
        <x:v>manual_exchange_review_pass_pending_T08</x:v>
      </x:c>
      <x:c r="U80" s="15" t="str">
        <x:v>B_transcript_adjudication_candidate</x:v>
      </x:c>
      <x:c r="V80" s="16" t="str">
        <x:v>not_started</x:v>
      </x:c>
      <x:c r="W80" s="16"/>
      <x:c r="X80" s="16"/>
      <x:c r="Y80" s="16"/>
      <x:c r="Z80" s="16"/>
      <x:c r="AA80" s="16"/>
      <x:c r="AB80" s="16"/>
      <x:c r="AC80" s="16"/>
      <x:c r="AD80" s="16"/>
      <x:c r="AE80" s="16"/>
      <x:c r="AF80" s="16"/>
      <x:c r="AG80" s="16"/>
      <x:c r="AH80" s="16"/>
      <x:c r="AI80" s="16"/>
      <x:c r="AJ80" s="16"/>
      <x:c r="AK80" s="16"/>
      <x:c r="AL80" s="16"/>
      <x:c r="AM80" s="16"/>
      <x:c r="AN80" s="16"/>
      <x:c r="AO80" s="16"/>
      <x:c r="AP80" s="16"/>
      <x:c r="AQ80" s="16"/>
      <x:c r="AR80" s="16"/>
      <x:c r="AS80" s="16"/>
      <x:c r="AT80" s="20"/>
      <x:c r="AU80" s="16"/>
      <x:c r="AV80" s="16"/>
      <x:c r="AW80" s="16" t="str">
        <x:v>pending</x:v>
      </x:c>
      <x:c r="AX80" s="17" t="str">
        <x:v>blocked_not_validated</x:v>
      </x:c>
      <x:c r="AY80" s="18" t="str">
        <x:f>IF(OR(C80="yes",X80="corrected",COUNTIF(Z80:AL80,"major")&gt;0,COUNTIF(Z80:AL80,"blocker")&gt;0,OR(AO80="repair",AO80="segment",AO80="replace",AO80="block")),"yes","no")</x:f>
        <x:v>no</x:v>
      </x:c>
      <x:c r="AZ80" s="18" t="str">
        <x:f>IF(AND(V80="reviewed",W80&gt;=1,X80&lt;&gt;"",Y80&lt;&gt;"",COUNTA(Z80:AL80)=13,AM80&lt;&gt;"",AN80&lt;&gt;"",AO80&lt;&gt;"",AP80&lt;&gt;"",AQ80&lt;&gt;"",AR80&lt;&gt;"",AS80="I_listened_at_1x_and_completed_all_required_fields",AT80&lt;&gt;"",AW80="adjudicated",OR(AY80="no",AND(AU80&lt;&gt;"",AV80&lt;&gt;""))),"complete","incomplete")</x:f>
        <x:v>incomplete</x:v>
      </x:c>
      <x:c r="BA80" s="18" t="str">
        <x:f>IF(AZ80="complete","none","faltan campos humanos, adjudicación o segunda revisión")</x:f>
        <x:v>faltan campos humanos, adjudicación o segunda revisión</x:v>
      </x:c>
    </x:row>
    <x:row r="81" ht="36" customHeight="1">
      <x:c r="A81" s="15" t="n">
        <x:v>80</x:v>
      </x:c>
      <x:c r="B81" s="15" t="str">
        <x:v>P1-CHOOSE</x:v>
      </x:c>
      <x:c r="C81" s="15" t="str">
        <x:v>no</x:v>
      </x:c>
      <x:c r="D81" s="15" t="str">
        <x:v>asset:toefl:set-9:part-5:listen-choose-3</x:v>
      </x:c>
      <x:c r="E81" s="15" t="str">
        <x:v>set-9</x:v>
      </x:c>
      <x:c r="F81" s="15" t="str">
        <x:v>Listen and Choose a Response</x:v>
      </x:c>
      <x:c r="G81" s="15" t="str">
        <x:v>/Users/josedavidduartesilva/Developer/idiomaswl/public/audio/toefl/set-9/listen-choose-3.mp3</x:v>
      </x:c>
      <x:c r="H81" s="19" t="n">
        <x:v>3.38</x:v>
      </x:c>
      <x:c r="I81" s="15" t="str">
        <x:v>P1</x:v>
      </x:c>
      <x:c r="J81" s="15" t="str">
        <x:v>100_percent_required_T08</x:v>
      </x:c>
      <x:c r="K81" s="15" t="str">
        <x:v>pass_automated_T06</x:v>
      </x:c>
      <x:c r="L81" s="15" t="str">
        <x:v>none</x:v>
      </x:c>
      <x:c r="M81" s="15" t="str">
        <x:v>none</x:v>
      </x:c>
      <x:c r="N81" s="15" t="str">
        <x:v>conserve_source_technical_candidate</x:v>
      </x:c>
      <x:c r="O81" s="15" t="str">
        <x:v>asr_candidate_recovered_pending_human</x:v>
      </x:c>
      <x:c r="P81" s="15" t="str">
        <x:v>LING-SOURCE-001;LING-STRESS-001</x:v>
      </x:c>
      <x:c r="Q81" s="15" t="str"/>
      <x:c r="R81" s="15" t="str">
        <x:v>Oh no, I forgot to bring a pen for the exam.</x:v>
      </x:c>
      <x:c r="S81" s="15" t="str">
        <x:v>no_source_candidate</x:v>
      </x:c>
      <x:c r="T81" s="15" t="str">
        <x:v>manual_exchange_review_pass_pending_T08</x:v>
      </x:c>
      <x:c r="U81" s="15" t="str">
        <x:v>B_transcript_adjudication_candidate</x:v>
      </x:c>
      <x:c r="V81" s="16" t="str">
        <x:v>not_started</x:v>
      </x:c>
      <x:c r="W81" s="16"/>
      <x:c r="X81" s="16"/>
      <x:c r="Y81" s="16"/>
      <x:c r="Z81" s="16"/>
      <x:c r="AA81" s="16"/>
      <x:c r="AB81" s="16"/>
      <x:c r="AC81" s="16"/>
      <x:c r="AD81" s="16"/>
      <x:c r="AE81" s="16"/>
      <x:c r="AF81" s="16"/>
      <x:c r="AG81" s="16"/>
      <x:c r="AH81" s="16"/>
      <x:c r="AI81" s="16"/>
      <x:c r="AJ81" s="16"/>
      <x:c r="AK81" s="16"/>
      <x:c r="AL81" s="16"/>
      <x:c r="AM81" s="16"/>
      <x:c r="AN81" s="16"/>
      <x:c r="AO81" s="16"/>
      <x:c r="AP81" s="16"/>
      <x:c r="AQ81" s="16"/>
      <x:c r="AR81" s="16"/>
      <x:c r="AS81" s="16"/>
      <x:c r="AT81" s="20"/>
      <x:c r="AU81" s="16"/>
      <x:c r="AV81" s="16"/>
      <x:c r="AW81" s="16" t="str">
        <x:v>pending</x:v>
      </x:c>
      <x:c r="AX81" s="17" t="str">
        <x:v>blocked_not_validated</x:v>
      </x:c>
      <x:c r="AY81" s="18" t="str">
        <x:f>IF(OR(C81="yes",X81="corrected",COUNTIF(Z81:AL81,"major")&gt;0,COUNTIF(Z81:AL81,"blocker")&gt;0,OR(AO81="repair",AO81="segment",AO81="replace",AO81="block")),"yes","no")</x:f>
        <x:v>no</x:v>
      </x:c>
      <x:c r="AZ81" s="18" t="str">
        <x:f>IF(AND(V81="reviewed",W81&gt;=1,X81&lt;&gt;"",Y81&lt;&gt;"",COUNTA(Z81:AL81)=13,AM81&lt;&gt;"",AN81&lt;&gt;"",AO81&lt;&gt;"",AP81&lt;&gt;"",AQ81&lt;&gt;"",AR81&lt;&gt;"",AS81="I_listened_at_1x_and_completed_all_required_fields",AT81&lt;&gt;"",AW81="adjudicated",OR(AY81="no",AND(AU81&lt;&gt;"",AV81&lt;&gt;""))),"complete","incomplete")</x:f>
        <x:v>incomplete</x:v>
      </x:c>
      <x:c r="BA81" s="18" t="str">
        <x:f>IF(AZ81="complete","none","faltan campos humanos, adjudicación o segunda revisión")</x:f>
        <x:v>faltan campos humanos, adjudicación o segunda revisión</x:v>
      </x:c>
    </x:row>
    <x:row r="82" ht="36" customHeight="1">
      <x:c r="A82" s="15" t="n">
        <x:v>81</x:v>
      </x:c>
      <x:c r="B82" s="15" t="str">
        <x:v>P1-CHOOSE</x:v>
      </x:c>
      <x:c r="C82" s="15" t="str">
        <x:v>no</x:v>
      </x:c>
      <x:c r="D82" s="15" t="str">
        <x:v>asset:toefl:set-9:part-5:listen-choose-4</x:v>
      </x:c>
      <x:c r="E82" s="15" t="str">
        <x:v>set-9</x:v>
      </x:c>
      <x:c r="F82" s="15" t="str">
        <x:v>Listen and Choose a Response</x:v>
      </x:c>
      <x:c r="G82" s="15" t="str">
        <x:v>/Users/josedavidduartesilva/Developer/idiomaswl/public/audio/toefl/set-9/listen-choose-4.mp3</x:v>
      </x:c>
      <x:c r="H82" s="19" t="n">
        <x:v>3.14</x:v>
      </x:c>
      <x:c r="I82" s="15" t="str">
        <x:v>P1</x:v>
      </x:c>
      <x:c r="J82" s="15" t="str">
        <x:v>100_percent_required_T08</x:v>
      </x:c>
      <x:c r="K82" s="15" t="str">
        <x:v>pass_automated_T06</x:v>
      </x:c>
      <x:c r="L82" s="15" t="str">
        <x:v>none</x:v>
      </x:c>
      <x:c r="M82" s="15" t="str">
        <x:v>none</x:v>
      </x:c>
      <x:c r="N82" s="15" t="str">
        <x:v>conserve_source_technical_candidate</x:v>
      </x:c>
      <x:c r="O82" s="15" t="str">
        <x:v>asr_candidate_recovered_pending_human</x:v>
      </x:c>
      <x:c r="P82" s="15" t="str">
        <x:v>LING-SOURCE-001;LING-STRESS-001</x:v>
      </x:c>
      <x:c r="Q82" s="15" t="str"/>
      <x:c r="R82" s="15" t="str">
        <x:v>Do you want to meet this afternoon to go over the assignment?</x:v>
      </x:c>
      <x:c r="S82" s="15" t="str">
        <x:v>no_source_candidate</x:v>
      </x:c>
      <x:c r="T82" s="15" t="str">
        <x:v>manual_exchange_review_pass_pending_T08</x:v>
      </x:c>
      <x:c r="U82" s="15" t="str">
        <x:v>B_transcript_adjudication_candidate</x:v>
      </x:c>
      <x:c r="V82" s="16" t="str">
        <x:v>not_started</x:v>
      </x:c>
      <x:c r="W82" s="16"/>
      <x:c r="X82" s="16"/>
      <x:c r="Y82" s="16"/>
      <x:c r="Z82" s="16"/>
      <x:c r="AA82" s="16"/>
      <x:c r="AB82" s="16"/>
      <x:c r="AC82" s="16"/>
      <x:c r="AD82" s="16"/>
      <x:c r="AE82" s="16"/>
      <x:c r="AF82" s="16"/>
      <x:c r="AG82" s="16"/>
      <x:c r="AH82" s="16"/>
      <x:c r="AI82" s="16"/>
      <x:c r="AJ82" s="16"/>
      <x:c r="AK82" s="16"/>
      <x:c r="AL82" s="16"/>
      <x:c r="AM82" s="16"/>
      <x:c r="AN82" s="16"/>
      <x:c r="AO82" s="16"/>
      <x:c r="AP82" s="16"/>
      <x:c r="AQ82" s="16"/>
      <x:c r="AR82" s="16"/>
      <x:c r="AS82" s="16"/>
      <x:c r="AT82" s="20"/>
      <x:c r="AU82" s="16"/>
      <x:c r="AV82" s="16"/>
      <x:c r="AW82" s="16" t="str">
        <x:v>pending</x:v>
      </x:c>
      <x:c r="AX82" s="17" t="str">
        <x:v>blocked_not_validated</x:v>
      </x:c>
      <x:c r="AY82" s="18" t="str">
        <x:f>IF(OR(C82="yes",X82="corrected",COUNTIF(Z82:AL82,"major")&gt;0,COUNTIF(Z82:AL82,"blocker")&gt;0,OR(AO82="repair",AO82="segment",AO82="replace",AO82="block")),"yes","no")</x:f>
        <x:v>no</x:v>
      </x:c>
      <x:c r="AZ82" s="18" t="str">
        <x:f>IF(AND(V82="reviewed",W82&gt;=1,X82&lt;&gt;"",Y82&lt;&gt;"",COUNTA(Z82:AL82)=13,AM82&lt;&gt;"",AN82&lt;&gt;"",AO82&lt;&gt;"",AP82&lt;&gt;"",AQ82&lt;&gt;"",AR82&lt;&gt;"",AS82="I_listened_at_1x_and_completed_all_required_fields",AT82&lt;&gt;"",AW82="adjudicated",OR(AY82="no",AND(AU82&lt;&gt;"",AV82&lt;&gt;""))),"complete","incomplete")</x:f>
        <x:v>incomplete</x:v>
      </x:c>
      <x:c r="BA82" s="18" t="str">
        <x:f>IF(AZ82="complete","none","faltan campos humanos, adjudicación o segunda revisión")</x:f>
        <x:v>faltan campos humanos, adjudicación o segunda revisión</x:v>
      </x:c>
    </x:row>
    <x:row r="83" ht="36" customHeight="1">
      <x:c r="A83" s="15" t="n">
        <x:v>82</x:v>
      </x:c>
      <x:c r="B83" s="15" t="str">
        <x:v>P1-CHOOSE</x:v>
      </x:c>
      <x:c r="C83" s="15" t="str">
        <x:v>no</x:v>
      </x:c>
      <x:c r="D83" s="15" t="str">
        <x:v>asset:toefl:set-9:part-5:listen-choose-5</x:v>
      </x:c>
      <x:c r="E83" s="15" t="str">
        <x:v>set-9</x:v>
      </x:c>
      <x:c r="F83" s="15" t="str">
        <x:v>Listen and Choose a Response</x:v>
      </x:c>
      <x:c r="G83" s="15" t="str">
        <x:v>/Users/josedavidduartesilva/Developer/idiomaswl/public/audio/toefl/set-9/listen-choose-5.mp3</x:v>
      </x:c>
      <x:c r="H83" s="19" t="n">
        <x:v>2.58</x:v>
      </x:c>
      <x:c r="I83" s="15" t="str">
        <x:v>P1</x:v>
      </x:c>
      <x:c r="J83" s="15" t="str">
        <x:v>100_percent_required_T08</x:v>
      </x:c>
      <x:c r="K83" s="15" t="str">
        <x:v>pass_automated_T06</x:v>
      </x:c>
      <x:c r="L83" s="15" t="str">
        <x:v>none</x:v>
      </x:c>
      <x:c r="M83" s="15" t="str">
        <x:v>none</x:v>
      </x:c>
      <x:c r="N83" s="15" t="str">
        <x:v>conserve_source_technical_candidate</x:v>
      </x:c>
      <x:c r="O83" s="15" t="str">
        <x:v>asr_candidate_recovered_pending_human</x:v>
      </x:c>
      <x:c r="P83" s="15" t="str">
        <x:v>LING-SOURCE-001;LING-STRESS-001;LING-EXCHANGE-001;LING-DUP-001</x:v>
      </x:c>
      <x:c r="Q83" s="15" t="str"/>
      <x:c r="R83" s="15" t="str">
        <x:v>How did your job interview go yesterday?</x:v>
      </x:c>
      <x:c r="S83" s="15" t="str">
        <x:v>no_source_candidate</x:v>
      </x:c>
      <x:c r="T83" s="15" t="str">
        <x:v>semantically_keyed_but_unnatural_response_pending_repair</x:v>
      </x:c>
      <x:c r="U83" s="15" t="str">
        <x:v>B_transcript_adjudication_candidate</x:v>
      </x:c>
      <x:c r="V83" s="16" t="str">
        <x:v>not_started</x:v>
      </x:c>
      <x:c r="W83" s="16"/>
      <x:c r="X83" s="16"/>
      <x:c r="Y83" s="16"/>
      <x:c r="Z83" s="16"/>
      <x:c r="AA83" s="16"/>
      <x:c r="AB83" s="16"/>
      <x:c r="AC83" s="16"/>
      <x:c r="AD83" s="16"/>
      <x:c r="AE83" s="16"/>
      <x:c r="AF83" s="16"/>
      <x:c r="AG83" s="16"/>
      <x:c r="AH83" s="16"/>
      <x:c r="AI83" s="16"/>
      <x:c r="AJ83" s="16"/>
      <x:c r="AK83" s="16"/>
      <x:c r="AL83" s="16"/>
      <x:c r="AM83" s="16"/>
      <x:c r="AN83" s="16"/>
      <x:c r="AO83" s="16"/>
      <x:c r="AP83" s="16"/>
      <x:c r="AQ83" s="16"/>
      <x:c r="AR83" s="16"/>
      <x:c r="AS83" s="16"/>
      <x:c r="AT83" s="20"/>
      <x:c r="AU83" s="16"/>
      <x:c r="AV83" s="16"/>
      <x:c r="AW83" s="16" t="str">
        <x:v>pending</x:v>
      </x:c>
      <x:c r="AX83" s="17" t="str">
        <x:v>blocked_not_validated</x:v>
      </x:c>
      <x:c r="AY83" s="18" t="str">
        <x:f>IF(OR(C83="yes",X83="corrected",COUNTIF(Z83:AL83,"major")&gt;0,COUNTIF(Z83:AL83,"blocker")&gt;0,OR(AO83="repair",AO83="segment",AO83="replace",AO83="block")),"yes","no")</x:f>
        <x:v>no</x:v>
      </x:c>
      <x:c r="AZ83" s="18" t="str">
        <x:f>IF(AND(V83="reviewed",W83&gt;=1,X83&lt;&gt;"",Y83&lt;&gt;"",COUNTA(Z83:AL83)=13,AM83&lt;&gt;"",AN83&lt;&gt;"",AO83&lt;&gt;"",AP83&lt;&gt;"",AQ83&lt;&gt;"",AR83&lt;&gt;"",AS83="I_listened_at_1x_and_completed_all_required_fields",AT83&lt;&gt;"",AW83="adjudicated",OR(AY83="no",AND(AU83&lt;&gt;"",AV83&lt;&gt;""))),"complete","incomplete")</x:f>
        <x:v>incomplete</x:v>
      </x:c>
      <x:c r="BA83" s="18" t="str">
        <x:f>IF(AZ83="complete","none","faltan campos humanos, adjudicación o segunda revisión")</x:f>
        <x:v>faltan campos humanos, adjudicación o segunda revisión</x:v>
      </x:c>
    </x:row>
    <x:row r="84" ht="36" customHeight="1">
      <x:c r="A84" s="15" t="n">
        <x:v>83</x:v>
      </x:c>
      <x:c r="B84" s="15" t="str">
        <x:v>P1-LONG</x:v>
      </x:c>
      <x:c r="C84" s="15" t="str">
        <x:v>no</x:v>
      </x:c>
      <x:c r="D84" s="15" t="str">
        <x:v>asset:toefl:set-9:part-6:conversation</x:v>
      </x:c>
      <x:c r="E84" s="15" t="str">
        <x:v>set-9</x:v>
      </x:c>
      <x:c r="F84" s="15" t="str">
        <x:v>Listen to a Conversation</x:v>
      </x:c>
      <x:c r="G84" s="15" t="str">
        <x:v>/Users/josedavidduartesilva/Developer/idiomaswl/public/audio/toefl/set-9/conversation.mp3</x:v>
      </x:c>
      <x:c r="H84" s="19" t="n">
        <x:v>62.9</x:v>
      </x:c>
      <x:c r="I84" s="15" t="str">
        <x:v>P1</x:v>
      </x:c>
      <x:c r="J84" s="15" t="str">
        <x:v>100_percent_required_T08_T15</x:v>
      </x:c>
      <x:c r="K84" s="15" t="str">
        <x:v>pass_with_actionable_warning</x:v>
      </x:c>
      <x:c r="L84" s="15" t="str">
        <x:v>none</x:v>
      </x:c>
      <x:c r="M84" s="15" t="str">
        <x:v>TECH-PEAK-003</x:v>
      </x:c>
      <x:c r="N84" s="15" t="str">
        <x:v>review_warning_in_T08_before_conserve</x:v>
      </x:c>
      <x:c r="O84" s="15" t="str">
        <x:v>source_minor_diff_supported_pending_human</x:v>
      </x:c>
      <x:c r="P84" s="15" t="str">
        <x:v>LING-DIFF-001;LING-LEN-001</x:v>
      </x:c>
      <x:c r="Q84" s="15" t="str">
        <x:v>MAN: Have you started thinking about where you'll live next year? The housing application is due soon.
WOMAN: I have, actually. I'm torn between staying in the dorms and renting an apartment with friends off campus.
MAN: What's making it hard to decide?
WOMAN: Well, the dorms are convenient — I can walk to class in five minutes, meals are included, and I don't have to worry about bills. But they're kind of expensive, and honestly, they can be noisy when I'm trying to study.
MAN: And the apartment?
WOMAN: An apartment would be cheaper if I split it three ways, and it'd be quieter. But it's a twenty-minute bus ride from campus, and we'd have to cook for ourselves and deal with electricity and internet bills. Plus, if a roommate moves out, I'm stuck covering more of the rent.
MAN: That's a real risk. Have you talked to the friends you'd live with?
WOMAN: Not seriously yet. I think that's my next step — I need to know they're actually committed before I sign anything. A cheaper apartment isn't worth it if it falls apart halfway through the year.
MAN: Smart. I'd definitely nail that down first.</x:v>
      </x:c>
      <x:c r="R84" s="15" t="str">
        <x:v>Have you started thinking about where you'll live next year? The housing application is due soon. I have, actually. I'm torn between staying in the dorms and renting an apartment with friends off campus. What's making it hard to decide? Well, the dorms are convenient. I can walk to class in five minutes, meals are included, and I don't have to worry about bills. But they're kind of expensive, and honestly, they can be noisy when I'm trying to study. And the apartment? An apartment would be cheaper if I split it three ways, and it'd be quieter. But it's a 20-minute bus ride from campus, and we'd have to cook for ourselves and deal with electricity and internet bills. Plus, if a roommate moves out, I'm stuck covering more of the rent. That's a real risk. Have you talked to the friends you'd live with? Not seriously yet. I think that's my next step. I need to know they're actually committed before I sign anything. A cheaper apartment isn't worth it if it falls apart half way through the year. Smart. I'd definitely nail that down first.</x:v>
      </x:c>
      <x:c r="S84" s="15" t="str">
        <x:v>I:half | S:halfway→way</x:v>
      </x:c>
      <x:c r="T84" s="15" t="str">
        <x:v>source_contract_preserved_subject_to_T08</x:v>
      </x:c>
      <x:c r="U84" s="15" t="str">
        <x:v>C_linguistic_segment_or_reframe_candidate</x:v>
      </x:c>
      <x:c r="V84" s="16" t="str">
        <x:v>not_started</x:v>
      </x:c>
      <x:c r="W84" s="16"/>
      <x:c r="X84" s="16"/>
      <x:c r="Y84" s="16"/>
      <x:c r="Z84" s="16"/>
      <x:c r="AA84" s="16"/>
      <x:c r="AB84" s="16"/>
      <x:c r="AC84" s="16"/>
      <x:c r="AD84" s="16"/>
      <x:c r="AE84" s="16"/>
      <x:c r="AF84" s="16"/>
      <x:c r="AG84" s="16"/>
      <x:c r="AH84" s="16"/>
      <x:c r="AI84" s="16"/>
      <x:c r="AJ84" s="16"/>
      <x:c r="AK84" s="16"/>
      <x:c r="AL84" s="16"/>
      <x:c r="AM84" s="16"/>
      <x:c r="AN84" s="16"/>
      <x:c r="AO84" s="16"/>
      <x:c r="AP84" s="16"/>
      <x:c r="AQ84" s="16"/>
      <x:c r="AR84" s="16"/>
      <x:c r="AS84" s="16"/>
      <x:c r="AT84" s="20"/>
      <x:c r="AU84" s="16"/>
      <x:c r="AV84" s="16"/>
      <x:c r="AW84" s="16" t="str">
        <x:v>pending</x:v>
      </x:c>
      <x:c r="AX84" s="17" t="str">
        <x:v>blocked_not_validated</x:v>
      </x:c>
      <x:c r="AY84" s="18" t="str">
        <x:f>IF(OR(C84="yes",X84="corrected",COUNTIF(Z84:AL84,"major")&gt;0,COUNTIF(Z84:AL84,"blocker")&gt;0,OR(AO84="repair",AO84="segment",AO84="replace",AO84="block")),"yes","no")</x:f>
        <x:v>no</x:v>
      </x:c>
      <x:c r="AZ84" s="18" t="str">
        <x:f>IF(AND(V84="reviewed",W84&gt;=1,X84&lt;&gt;"",Y84&lt;&gt;"",COUNTA(Z84:AL84)=13,AM84&lt;&gt;"",AN84&lt;&gt;"",AO84&lt;&gt;"",AP84&lt;&gt;"",AQ84&lt;&gt;"",AR84&lt;&gt;"",AS84="I_listened_at_1x_and_completed_all_required_fields",AT84&lt;&gt;"",AW84="adjudicated",OR(AY84="no",AND(AU84&lt;&gt;"",AV84&lt;&gt;""))),"complete","incomplete")</x:f>
        <x:v>incomplete</x:v>
      </x:c>
      <x:c r="BA84" s="18" t="str">
        <x:f>IF(AZ84="complete","none","faltan campos humanos, adjudicación o segunda revisión")</x:f>
        <x:v>faltan campos humanos, adjudicación o segunda revisión</x:v>
      </x:c>
    </x:row>
    <x:row r="85" ht="36" customHeight="1">
      <x:c r="A85" s="15" t="n">
        <x:v>84</x:v>
      </x:c>
      <x:c r="B85" s="15" t="str">
        <x:v>P1-LONG</x:v>
      </x:c>
      <x:c r="C85" s="15" t="str">
        <x:v>no</x:v>
      </x:c>
      <x:c r="D85" s="15" t="str">
        <x:v>asset:toefl:set-9:part-7:announcement</x:v>
      </x:c>
      <x:c r="E85" s="15" t="str">
        <x:v>set-9</x:v>
      </x:c>
      <x:c r="F85" s="15" t="str">
        <x:v>Listen to an Announcement</x:v>
      </x:c>
      <x:c r="G85" s="15" t="str">
        <x:v>/Users/josedavidduartesilva/Developer/idiomaswl/public/audio/toefl/set-9/announcement.mp3</x:v>
      </x:c>
      <x:c r="H85" s="19" t="n">
        <x:v>40.58</x:v>
      </x:c>
      <x:c r="I85" s="15" t="str">
        <x:v>P1</x:v>
      </x:c>
      <x:c r="J85" s="15" t="str">
        <x:v>100_percent_required_T08_T15</x:v>
      </x:c>
      <x:c r="K85" s="15" t="str">
        <x:v>pass_automated_T06</x:v>
      </x:c>
      <x:c r="L85" s="15" t="str">
        <x:v>none</x:v>
      </x:c>
      <x:c r="M85" s="15" t="str">
        <x:v>none</x:v>
      </x:c>
      <x:c r="N85" s="15" t="str">
        <x:v>conserve_source_technical_candidate</x:v>
      </x:c>
      <x:c r="O85" s="15" t="str">
        <x:v>source_material_diff_pending_human</x:v>
      </x:c>
      <x:c r="P85" s="15" t="str">
        <x:v>LING-DIFF-001;LING-CRIT-001;LING-LEN-001</x:v>
      </x:c>
      <x:c r="Q85" s="15" t="str">
        <x:v>Attention, please. This is an announcement for everyone attending today's career workshop. Because of a much larger turnout than expected, we are moving the workshop from Room 210 to the main auditorium on the ground floor. The larger space will let everyone have a seat and see the presentation clearly.
The start time remains the same — two p.m. — but please make your way to the auditorium now, as we'd like to begin promptly. Representatives from twelve companies are here today, and after the presentation there will be time to speak with them individually at tables set up along the back wall. If you brought copies of your résumé, have them ready. Thank you for your flexibility, and enjoy the workshop.</x:v>
      </x:c>
      <x:c r="R85" s="15" t="str">
        <x:v>Attention please, this is an announcement for everyone attending today's career workshop. Because of a much larger turnout than expected, we are moving the workshop from room 210 to the main auditorium on the ground floor. The larger space will let everyone have a seat and see the presentation clearly. The start time remains the same, 2pm, but please make your way to the auditorium now, as we'd like to begin promptly. some 12 companies are here today, and after the presentation there will be time to speak with them individually at tables set up along the back wall. If you brought copies of your resume, have them ready. Thank you for your flexibility and enjoy the workshop.</x:v>
      </x:c>
      <x:c r="S85" s="15" t="str">
        <x:v>D:p | S:m→pm | D:representatives | S:from→some</x:v>
      </x:c>
      <x:c r="T85" s="15" t="str">
        <x:v>source_contract_preserved_subject_to_T08</x:v>
      </x:c>
      <x:c r="U85" s="15" t="str">
        <x:v>C_linguistic_segment_or_reframe_candidate</x:v>
      </x:c>
      <x:c r="V85" s="16" t="str">
        <x:v>not_started</x:v>
      </x:c>
      <x:c r="W85" s="16"/>
      <x:c r="X85" s="16"/>
      <x:c r="Y85" s="16"/>
      <x:c r="Z85" s="16"/>
      <x:c r="AA85" s="16"/>
      <x:c r="AB85" s="16"/>
      <x:c r="AC85" s="16"/>
      <x:c r="AD85" s="16"/>
      <x:c r="AE85" s="16"/>
      <x:c r="AF85" s="16"/>
      <x:c r="AG85" s="16"/>
      <x:c r="AH85" s="16"/>
      <x:c r="AI85" s="16"/>
      <x:c r="AJ85" s="16"/>
      <x:c r="AK85" s="16"/>
      <x:c r="AL85" s="16"/>
      <x:c r="AM85" s="16"/>
      <x:c r="AN85" s="16"/>
      <x:c r="AO85" s="16"/>
      <x:c r="AP85" s="16"/>
      <x:c r="AQ85" s="16"/>
      <x:c r="AR85" s="16"/>
      <x:c r="AS85" s="16"/>
      <x:c r="AT85" s="20"/>
      <x:c r="AU85" s="16"/>
      <x:c r="AV85" s="16"/>
      <x:c r="AW85" s="16" t="str">
        <x:v>pending</x:v>
      </x:c>
      <x:c r="AX85" s="17" t="str">
        <x:v>blocked_not_validated</x:v>
      </x:c>
      <x:c r="AY85" s="18" t="str">
        <x:f>IF(OR(C85="yes",X85="corrected",COUNTIF(Z85:AL85,"major")&gt;0,COUNTIF(Z85:AL85,"blocker")&gt;0,OR(AO85="repair",AO85="segment",AO85="replace",AO85="block")),"yes","no")</x:f>
        <x:v>no</x:v>
      </x:c>
      <x:c r="AZ85" s="18" t="str">
        <x:f>IF(AND(V85="reviewed",W85&gt;=1,X85&lt;&gt;"",Y85&lt;&gt;"",COUNTA(Z85:AL85)=13,AM85&lt;&gt;"",AN85&lt;&gt;"",AO85&lt;&gt;"",AP85&lt;&gt;"",AQ85&lt;&gt;"",AR85&lt;&gt;"",AS85="I_listened_at_1x_and_completed_all_required_fields",AT85&lt;&gt;"",AW85="adjudicated",OR(AY85="no",AND(AU85&lt;&gt;"",AV85&lt;&gt;""))),"complete","incomplete")</x:f>
        <x:v>incomplete</x:v>
      </x:c>
      <x:c r="BA85" s="18" t="str">
        <x:f>IF(AZ85="complete","none","faltan campos humanos, adjudicación o segunda revisión")</x:f>
        <x:v>faltan campos humanos, adjudicación o segunda revisión</x:v>
      </x:c>
    </x:row>
    <x:row r="86" ht="36" customHeight="1">
      <x:c r="A86" s="15" t="n">
        <x:v>85</x:v>
      </x:c>
      <x:c r="B86" s="15" t="str">
        <x:v>P1-LONG</x:v>
      </x:c>
      <x:c r="C86" s="15" t="str">
        <x:v>no</x:v>
      </x:c>
      <x:c r="D86" s="15" t="str">
        <x:v>asset:toefl:set-9:part-8:academic-talk</x:v>
      </x:c>
      <x:c r="E86" s="15" t="str">
        <x:v>set-9</x:v>
      </x:c>
      <x:c r="F86" s="15" t="str">
        <x:v>Listen to an Academic Talk</x:v>
      </x:c>
      <x:c r="G86" s="15" t="str">
        <x:v>/Users/josedavidduartesilva/Developer/idiomaswl/public/audio/toefl/set-9/academic-talk.mp3</x:v>
      </x:c>
      <x:c r="H86" s="19" t="n">
        <x:v>122.42</x:v>
      </x:c>
      <x:c r="I86" s="15" t="str">
        <x:v>P1</x:v>
      </x:c>
      <x:c r="J86" s="15" t="str">
        <x:v>100_percent_required_T08_T15</x:v>
      </x:c>
      <x:c r="K86" s="15" t="str">
        <x:v>fail_actionable</x:v>
      </x:c>
      <x:c r="L86" s="15" t="str">
        <x:v>TECH-LDN-002</x:v>
      </x:c>
      <x:c r="M86" s="15" t="str">
        <x:v>TECH-PEAK-003</x:v>
      </x:c>
      <x:c r="N86" s="15" t="str">
        <x:v>measure_gain_create_versioned_normalized_variant</x:v>
      </x:c>
      <x:c r="O86" s="15" t="str">
        <x:v>source_material_diff_pending_human</x:v>
      </x:c>
      <x:c r="P86" s="15" t="str">
        <x:v>LING-DIFF-001;LING-CRIT-001;TECH-T06-FAIL;LING-LEN-002</x:v>
      </x:c>
      <x:c r="Q86" s="15" t="str">
        <x:v>PROFESSOR: Today let's talk about something you use every day without thinking about it: sleep. Specifically, I want to focus on why sleep seems to be so important for memory. For a long time, sleep was seen as basically downtime — the brain switching off. We now know that's completely wrong. During sleep, the brain is doing some of its most important work.
Researchers have found that sleep plays a crucial role in a process called memory consolidation. During the day, you take in an enormous amount of information, and it's stored temporarily in a region of the brain called the hippocampus. Think of the hippocampus as a kind of inbox — fast to write to, but limited in space. During deep sleep, the brain appears to transfer important memories from this temporary store into the neocortex, where they can be stored more permanently. In effect, sleep is when the day's experiences get filed away for long-term keeping.
There's striking experimental support for this. In one type of study, participants learn a task — say, a sequence of finger movements or a list of word pairs — and are then tested either after a night of sleep or after an equal period of being awake during the day. Consistently, the groups that slept perform better. It's not just that they're more rested; the sleeping brain has actively strengthened the memory.
Dreaming may play a role too, particularly during a stage called REM sleep. Some researchers think the brain replays and reorganizes experiences during REM, which may help with learning and even with creative problem-solving. That's why the advice to "sleep on it" before making a decision has some real science behind it. The practical takeaway is simple but often ignored: pulling an all-nighter before an exam is one of the worst things you can do, because you're sacrificing the very process that would cement what you studied.</x:v>
      </x:c>
      <x:c r="R86" s="15" t="str">
        <x:v>Today let's talk about something you use every day without thinking about it. Sleep. Specifically, I want to focus on why sleep seems to be so important for memory. For a long time, sleep was seen as basically downtime, the brain switching off. We now know that's completely wrong. During sleep, the brain is doing some of its most important work. Researchers have found that sleep plays a crucial role in a process called memory consolidation. During the day, you take in an enormous amount of information, and it's stored temporarily in a region of the brain called the hippocampus. Think of the hippocampus as a kind of inbox, fast to write to, but limited in space. During deep sleep, the brain appears to transfer important memories from this temporary store into the neocortex, where they can be stored more permanently. In effect, sleep is when the day's experiences get filed away for long-term keeping. There's striking experimental support for this. In one type of study, participants learn a task, say, a sequence of finger movements or a list of word pairs, and are then tested either after a night of sleep or after an equal period of being awake during the day. Consistently, the groups that slept perform better. It's not just that they're more rested, the sleeping brain has actively strengthened the memory. Dreaming may play a role too, particularly during a stage called RM Sleep. Some researchers think the brain replays and reorganizes experiences during REM, which may help with learning and even with creative problem-solving. That's why the advice to sleep on it before making a decision has some real science behind it. Practical takeaway is simple but often ignored. Pulling an all-nighter before an exam is one of the worst things you can do, because you're sacrificing the very process that would cement what you studied.</x:v>
      </x:c>
      <x:c r="S86" s="15" t="str">
        <x:v>S:rem→rm | D:the</x:v>
      </x:c>
      <x:c r="T86" s="15" t="str">
        <x:v>source_contract_preserved_subject_to_T08</x:v>
      </x:c>
      <x:c r="U86" s="15" t="str">
        <x:v>C_linguistic_segment_or_reframe_candidate</x:v>
      </x:c>
      <x:c r="V86" s="16" t="str">
        <x:v>not_started</x:v>
      </x:c>
      <x:c r="W86" s="16"/>
      <x:c r="X86" s="16"/>
      <x:c r="Y86" s="16"/>
      <x:c r="Z86" s="16"/>
      <x:c r="AA86" s="16"/>
      <x:c r="AB86" s="16"/>
      <x:c r="AC86" s="16"/>
      <x:c r="AD86" s="16"/>
      <x:c r="AE86" s="16"/>
      <x:c r="AF86" s="16"/>
      <x:c r="AG86" s="16"/>
      <x:c r="AH86" s="16"/>
      <x:c r="AI86" s="16"/>
      <x:c r="AJ86" s="16"/>
      <x:c r="AK86" s="16"/>
      <x:c r="AL86" s="16"/>
      <x:c r="AM86" s="16"/>
      <x:c r="AN86" s="16"/>
      <x:c r="AO86" s="16"/>
      <x:c r="AP86" s="16"/>
      <x:c r="AQ86" s="16"/>
      <x:c r="AR86" s="16"/>
      <x:c r="AS86" s="16"/>
      <x:c r="AT86" s="20"/>
      <x:c r="AU86" s="16"/>
      <x:c r="AV86" s="16"/>
      <x:c r="AW86" s="16" t="str">
        <x:v>pending</x:v>
      </x:c>
      <x:c r="AX86" s="17" t="str">
        <x:v>blocked_not_validated</x:v>
      </x:c>
      <x:c r="AY86" s="18" t="str">
        <x:f>IF(OR(C86="yes",X86="corrected",COUNTIF(Z86:AL86,"major")&gt;0,COUNTIF(Z86:AL86,"blocker")&gt;0,OR(AO86="repair",AO86="segment",AO86="replace",AO86="block")),"yes","no")</x:f>
        <x:v>no</x:v>
      </x:c>
      <x:c r="AZ86" s="18" t="str">
        <x:f>IF(AND(V86="reviewed",W86&gt;=1,X86&lt;&gt;"",Y86&lt;&gt;"",COUNTA(Z86:AL86)=13,AM86&lt;&gt;"",AN86&lt;&gt;"",AO86&lt;&gt;"",AP86&lt;&gt;"",AQ86&lt;&gt;"",AR86&lt;&gt;"",AS86="I_listened_at_1x_and_completed_all_required_fields",AT86&lt;&gt;"",AW86="adjudicated",OR(AY86="no",AND(AU86&lt;&gt;"",AV86&lt;&gt;""))),"complete","incomplete")</x:f>
        <x:v>incomplete</x:v>
      </x:c>
      <x:c r="BA86" s="18" t="str">
        <x:f>IF(AZ86="complete","none","faltan campos humanos, adjudicación o segunda revisión")</x:f>
        <x:v>faltan campos humanos, adjudicación o segunda revisión</x:v>
      </x:c>
    </x:row>
    <x:row r="87" ht="36" customHeight="1">
      <x:c r="A87" s="15" t="n">
        <x:v>86</x:v>
      </x:c>
      <x:c r="B87" s="15" t="str">
        <x:v>P1-CHOOSE</x:v>
      </x:c>
      <x:c r="C87" s="15" t="str">
        <x:v>no</x:v>
      </x:c>
      <x:c r="D87" s="15" t="str">
        <x:v>asset:toefl:set-10:part-5:listen-choose-1</x:v>
      </x:c>
      <x:c r="E87" s="15" t="str">
        <x:v>set-10</x:v>
      </x:c>
      <x:c r="F87" s="15" t="str">
        <x:v>Listen and Choose a Response</x:v>
      </x:c>
      <x:c r="G87" s="15" t="str">
        <x:v>/Users/josedavidduartesilva/Developer/idiomaswl/public/audio/toefl/set-10/listen-choose-1.mp3</x:v>
      </x:c>
      <x:c r="H87" s="19" t="n">
        <x:v>3.38</x:v>
      </x:c>
      <x:c r="I87" s="15" t="str">
        <x:v>P1</x:v>
      </x:c>
      <x:c r="J87" s="15" t="str">
        <x:v>100_percent_required_T08</x:v>
      </x:c>
      <x:c r="K87" s="15" t="str">
        <x:v>pass_automated_T06</x:v>
      </x:c>
      <x:c r="L87" s="15" t="str">
        <x:v>none</x:v>
      </x:c>
      <x:c r="M87" s="15" t="str">
        <x:v>none</x:v>
      </x:c>
      <x:c r="N87" s="15" t="str">
        <x:v>conserve_source_technical_candidate</x:v>
      </x:c>
      <x:c r="O87" s="15" t="str">
        <x:v>asr_candidate_recovered_pending_human</x:v>
      </x:c>
      <x:c r="P87" s="15" t="str">
        <x:v>LING-SOURCE-001;LING-STRESS-001</x:v>
      </x:c>
      <x:c r="Q87" s="15" t="str"/>
      <x:c r="R87" s="15" t="str">
        <x:v>Excuse me, do you know where the biology lab is?</x:v>
      </x:c>
      <x:c r="S87" s="15" t="str">
        <x:v>no_source_candidate</x:v>
      </x:c>
      <x:c r="T87" s="15" t="str">
        <x:v>manual_exchange_review_pass_pending_T08</x:v>
      </x:c>
      <x:c r="U87" s="15" t="str">
        <x:v>B_transcript_adjudication_candidate</x:v>
      </x:c>
      <x:c r="V87" s="16" t="str">
        <x:v>not_started</x:v>
      </x:c>
      <x:c r="W87" s="16"/>
      <x:c r="X87" s="16"/>
      <x:c r="Y87" s="16"/>
      <x:c r="Z87" s="16"/>
      <x:c r="AA87" s="16"/>
      <x:c r="AB87" s="16"/>
      <x:c r="AC87" s="16"/>
      <x:c r="AD87" s="16"/>
      <x:c r="AE87" s="16"/>
      <x:c r="AF87" s="16"/>
      <x:c r="AG87" s="16"/>
      <x:c r="AH87" s="16"/>
      <x:c r="AI87" s="16"/>
      <x:c r="AJ87" s="16"/>
      <x:c r="AK87" s="16"/>
      <x:c r="AL87" s="16"/>
      <x:c r="AM87" s="16"/>
      <x:c r="AN87" s="16"/>
      <x:c r="AO87" s="16"/>
      <x:c r="AP87" s="16"/>
      <x:c r="AQ87" s="16"/>
      <x:c r="AR87" s="16"/>
      <x:c r="AS87" s="16"/>
      <x:c r="AT87" s="20"/>
      <x:c r="AU87" s="16"/>
      <x:c r="AV87" s="16"/>
      <x:c r="AW87" s="16" t="str">
        <x:v>pending</x:v>
      </x:c>
      <x:c r="AX87" s="17" t="str">
        <x:v>blocked_not_validated</x:v>
      </x:c>
      <x:c r="AY87" s="18" t="str">
        <x:f>IF(OR(C87="yes",X87="corrected",COUNTIF(Z87:AL87,"major")&gt;0,COUNTIF(Z87:AL87,"blocker")&gt;0,OR(AO87="repair",AO87="segment",AO87="replace",AO87="block")),"yes","no")</x:f>
        <x:v>no</x:v>
      </x:c>
      <x:c r="AZ87" s="18" t="str">
        <x:f>IF(AND(V87="reviewed",W87&gt;=1,X87&lt;&gt;"",Y87&lt;&gt;"",COUNTA(Z87:AL87)=13,AM87&lt;&gt;"",AN87&lt;&gt;"",AO87&lt;&gt;"",AP87&lt;&gt;"",AQ87&lt;&gt;"",AR87&lt;&gt;"",AS87="I_listened_at_1x_and_completed_all_required_fields",AT87&lt;&gt;"",AW87="adjudicated",OR(AY87="no",AND(AU87&lt;&gt;"",AV87&lt;&gt;""))),"complete","incomplete")</x:f>
        <x:v>incomplete</x:v>
      </x:c>
      <x:c r="BA87" s="18" t="str">
        <x:f>IF(AZ87="complete","none","faltan campos humanos, adjudicación o segunda revisión")</x:f>
        <x:v>faltan campos humanos, adjudicación o segunda revisión</x:v>
      </x:c>
    </x:row>
    <x:row r="88" ht="36" customHeight="1">
      <x:c r="A88" s="15" t="n">
        <x:v>87</x:v>
      </x:c>
      <x:c r="B88" s="15" t="str">
        <x:v>P1-CHOOSE</x:v>
      </x:c>
      <x:c r="C88" s="15" t="str">
        <x:v>no</x:v>
      </x:c>
      <x:c r="D88" s="15" t="str">
        <x:v>asset:toefl:set-10:part-5:listen-choose-2</x:v>
      </x:c>
      <x:c r="E88" s="15" t="str">
        <x:v>set-10</x:v>
      </x:c>
      <x:c r="F88" s="15" t="str">
        <x:v>Listen and Choose a Response</x:v>
      </x:c>
      <x:c r="G88" s="15" t="str">
        <x:v>/Users/josedavidduartesilva/Developer/idiomaswl/public/audio/toefl/set-10/listen-choose-2.mp3</x:v>
      </x:c>
      <x:c r="H88" s="19" t="n">
        <x:v>3.3</x:v>
      </x:c>
      <x:c r="I88" s="15" t="str">
        <x:v>P1</x:v>
      </x:c>
      <x:c r="J88" s="15" t="str">
        <x:v>100_percent_required_T08</x:v>
      </x:c>
      <x:c r="K88" s="15" t="str">
        <x:v>pass_automated_T06</x:v>
      </x:c>
      <x:c r="L88" s="15" t="str">
        <x:v>none</x:v>
      </x:c>
      <x:c r="M88" s="15" t="str">
        <x:v>none</x:v>
      </x:c>
      <x:c r="N88" s="15" t="str">
        <x:v>conserve_source_technical_candidate</x:v>
      </x:c>
      <x:c r="O88" s="15" t="str">
        <x:v>asr_candidate_recovered_pending_human</x:v>
      </x:c>
      <x:c r="P88" s="15" t="str">
        <x:v>LING-SOURCE-001;LING-STRESS-001</x:v>
      </x:c>
      <x:c r="Q88" s="15" t="str"/>
      <x:c r="R88" s="15" t="str">
        <x:v>Could you take a look at my essay before I hand it in?</x:v>
      </x:c>
      <x:c r="S88" s="15" t="str">
        <x:v>no_source_candidate</x:v>
      </x:c>
      <x:c r="T88" s="15" t="str">
        <x:v>manual_exchange_review_pass_pending_T08</x:v>
      </x:c>
      <x:c r="U88" s="15" t="str">
        <x:v>B_transcript_adjudication_candidate</x:v>
      </x:c>
      <x:c r="V88" s="16" t="str">
        <x:v>not_started</x:v>
      </x:c>
      <x:c r="W88" s="16"/>
      <x:c r="X88" s="16"/>
      <x:c r="Y88" s="16"/>
      <x:c r="Z88" s="16"/>
      <x:c r="AA88" s="16"/>
      <x:c r="AB88" s="16"/>
      <x:c r="AC88" s="16"/>
      <x:c r="AD88" s="16"/>
      <x:c r="AE88" s="16"/>
      <x:c r="AF88" s="16"/>
      <x:c r="AG88" s="16"/>
      <x:c r="AH88" s="16"/>
      <x:c r="AI88" s="16"/>
      <x:c r="AJ88" s="16"/>
      <x:c r="AK88" s="16"/>
      <x:c r="AL88" s="16"/>
      <x:c r="AM88" s="16"/>
      <x:c r="AN88" s="16"/>
      <x:c r="AO88" s="16"/>
      <x:c r="AP88" s="16"/>
      <x:c r="AQ88" s="16"/>
      <x:c r="AR88" s="16"/>
      <x:c r="AS88" s="16"/>
      <x:c r="AT88" s="20"/>
      <x:c r="AU88" s="16"/>
      <x:c r="AV88" s="16"/>
      <x:c r="AW88" s="16" t="str">
        <x:v>pending</x:v>
      </x:c>
      <x:c r="AX88" s="17" t="str">
        <x:v>blocked_not_validated</x:v>
      </x:c>
      <x:c r="AY88" s="18" t="str">
        <x:f>IF(OR(C88="yes",X88="corrected",COUNTIF(Z88:AL88,"major")&gt;0,COUNTIF(Z88:AL88,"blocker")&gt;0,OR(AO88="repair",AO88="segment",AO88="replace",AO88="block")),"yes","no")</x:f>
        <x:v>no</x:v>
      </x:c>
      <x:c r="AZ88" s="18" t="str">
        <x:f>IF(AND(V88="reviewed",W88&gt;=1,X88&lt;&gt;"",Y88&lt;&gt;"",COUNTA(Z88:AL88)=13,AM88&lt;&gt;"",AN88&lt;&gt;"",AO88&lt;&gt;"",AP88&lt;&gt;"",AQ88&lt;&gt;"",AR88&lt;&gt;"",AS88="I_listened_at_1x_and_completed_all_required_fields",AT88&lt;&gt;"",AW88="adjudicated",OR(AY88="no",AND(AU88&lt;&gt;"",AV88&lt;&gt;""))),"complete","incomplete")</x:f>
        <x:v>incomplete</x:v>
      </x:c>
      <x:c r="BA88" s="18" t="str">
        <x:f>IF(AZ88="complete","none","faltan campos humanos, adjudicación o segunda revisión")</x:f>
        <x:v>faltan campos humanos, adjudicación o segunda revisión</x:v>
      </x:c>
    </x:row>
    <x:row r="89" ht="36" customHeight="1">
      <x:c r="A89" s="15" t="n">
        <x:v>88</x:v>
      </x:c>
      <x:c r="B89" s="15" t="str">
        <x:v>P1-CHOOSE</x:v>
      </x:c>
      <x:c r="C89" s="15" t="str">
        <x:v>no</x:v>
      </x:c>
      <x:c r="D89" s="15" t="str">
        <x:v>asset:toefl:set-10:part-5:listen-choose-3</x:v>
      </x:c>
      <x:c r="E89" s="15" t="str">
        <x:v>set-10</x:v>
      </x:c>
      <x:c r="F89" s="15" t="str">
        <x:v>Listen and Choose a Response</x:v>
      </x:c>
      <x:c r="G89" s="15" t="str">
        <x:v>/Users/josedavidduartesilva/Developer/idiomaswl/public/audio/toefl/set-10/listen-choose-3.mp3</x:v>
      </x:c>
      <x:c r="H89" s="19" t="n">
        <x:v>2.82</x:v>
      </x:c>
      <x:c r="I89" s="15" t="str">
        <x:v>P1</x:v>
      </x:c>
      <x:c r="J89" s="15" t="str">
        <x:v>100_percent_required_T08</x:v>
      </x:c>
      <x:c r="K89" s="15" t="str">
        <x:v>pass_with_actionable_warning</x:v>
      </x:c>
      <x:c r="L89" s="15" t="str">
        <x:v>none</x:v>
      </x:c>
      <x:c r="M89" s="15" t="str">
        <x:v>TECH-LDN-003</x:v>
      </x:c>
      <x:c r="N89" s="15" t="str">
        <x:v>review_warning_in_T08_before_conserve</x:v>
      </x:c>
      <x:c r="O89" s="15" t="str">
        <x:v>asr_candidate_recovered_pending_human</x:v>
      </x:c>
      <x:c r="P89" s="15" t="str">
        <x:v>LING-SOURCE-001;LING-STRESS-001</x:v>
      </x:c>
      <x:c r="Q89" s="15" t="str"/>
      <x:c r="R89" s="15" t="str">
        <x:v>Do you know where I can renew my parking permit?</x:v>
      </x:c>
      <x:c r="S89" s="15" t="str">
        <x:v>no_source_candidate</x:v>
      </x:c>
      <x:c r="T89" s="15" t="str">
        <x:v>manual_exchange_review_pass_pending_T08</x:v>
      </x:c>
      <x:c r="U89" s="15" t="str">
        <x:v>B_transcript_adjudication_candidate</x:v>
      </x:c>
      <x:c r="V89" s="16" t="str">
        <x:v>not_started</x:v>
      </x:c>
      <x:c r="W89" s="16"/>
      <x:c r="X89" s="16"/>
      <x:c r="Y89" s="16"/>
      <x:c r="Z89" s="16"/>
      <x:c r="AA89" s="16"/>
      <x:c r="AB89" s="16"/>
      <x:c r="AC89" s="16"/>
      <x:c r="AD89" s="16"/>
      <x:c r="AE89" s="16"/>
      <x:c r="AF89" s="16"/>
      <x:c r="AG89" s="16"/>
      <x:c r="AH89" s="16"/>
      <x:c r="AI89" s="16"/>
      <x:c r="AJ89" s="16"/>
      <x:c r="AK89" s="16"/>
      <x:c r="AL89" s="16"/>
      <x:c r="AM89" s="16"/>
      <x:c r="AN89" s="16"/>
      <x:c r="AO89" s="16"/>
      <x:c r="AP89" s="16"/>
      <x:c r="AQ89" s="16"/>
      <x:c r="AR89" s="16"/>
      <x:c r="AS89" s="16"/>
      <x:c r="AT89" s="20"/>
      <x:c r="AU89" s="16"/>
      <x:c r="AV89" s="16"/>
      <x:c r="AW89" s="16" t="str">
        <x:v>pending</x:v>
      </x:c>
      <x:c r="AX89" s="17" t="str">
        <x:v>blocked_not_validated</x:v>
      </x:c>
      <x:c r="AY89" s="18" t="str">
        <x:f>IF(OR(C89="yes",X89="corrected",COUNTIF(Z89:AL89,"major")&gt;0,COUNTIF(Z89:AL89,"blocker")&gt;0,OR(AO89="repair",AO89="segment",AO89="replace",AO89="block")),"yes","no")</x:f>
        <x:v>no</x:v>
      </x:c>
      <x:c r="AZ89" s="18" t="str">
        <x:f>IF(AND(V89="reviewed",W89&gt;=1,X89&lt;&gt;"",Y89&lt;&gt;"",COUNTA(Z89:AL89)=13,AM89&lt;&gt;"",AN89&lt;&gt;"",AO89&lt;&gt;"",AP89&lt;&gt;"",AQ89&lt;&gt;"",AR89&lt;&gt;"",AS89="I_listened_at_1x_and_completed_all_required_fields",AT89&lt;&gt;"",AW89="adjudicated",OR(AY89="no",AND(AU89&lt;&gt;"",AV89&lt;&gt;""))),"complete","incomplete")</x:f>
        <x:v>incomplete</x:v>
      </x:c>
      <x:c r="BA89" s="18" t="str">
        <x:f>IF(AZ89="complete","none","faltan campos humanos, adjudicación o segunda revisión")</x:f>
        <x:v>faltan campos humanos, adjudicación o segunda revisión</x:v>
      </x:c>
    </x:row>
    <x:row r="90" ht="36" customHeight="1">
      <x:c r="A90" s="15" t="n">
        <x:v>89</x:v>
      </x:c>
      <x:c r="B90" s="15" t="str">
        <x:v>P1-CHOOSE</x:v>
      </x:c>
      <x:c r="C90" s="15" t="str">
        <x:v>no</x:v>
      </x:c>
      <x:c r="D90" s="15" t="str">
        <x:v>asset:toefl:set-10:part-5:listen-choose-4</x:v>
      </x:c>
      <x:c r="E90" s="15" t="str">
        <x:v>set-10</x:v>
      </x:c>
      <x:c r="F90" s="15" t="str">
        <x:v>Listen and Choose a Response</x:v>
      </x:c>
      <x:c r="G90" s="15" t="str">
        <x:v>/Users/josedavidduartesilva/Developer/idiomaswl/public/audio/toefl/set-10/listen-choose-4.mp3</x:v>
      </x:c>
      <x:c r="H90" s="19" t="n">
        <x:v>4.5</x:v>
      </x:c>
      <x:c r="I90" s="15" t="str">
        <x:v>P1</x:v>
      </x:c>
      <x:c r="J90" s="15" t="str">
        <x:v>100_percent_required_T08</x:v>
      </x:c>
      <x:c r="K90" s="15" t="str">
        <x:v>fail_actionable</x:v>
      </x:c>
      <x:c r="L90" s="15" t="str">
        <x:v>TECH-SIL-002</x:v>
      </x:c>
      <x:c r="M90" s="15" t="str">
        <x:v>none</x:v>
      </x:c>
      <x:c r="N90" s="15" t="str">
        <x:v>review_edges_create_versioned_trim_variant</x:v>
      </x:c>
      <x:c r="O90" s="15" t="str">
        <x:v>asr_candidate_recovered_pending_human</x:v>
      </x:c>
      <x:c r="P90" s="15" t="str">
        <x:v>LING-SOURCE-001;TECH-T06-FAIL;LING-STRESS-001</x:v>
      </x:c>
      <x:c r="Q90" s="15" t="str"/>
      <x:c r="R90" s="15" t="str">
        <x:v>I'm really sorry, but I don't think I can make it to our meeting tomorrow.</x:v>
      </x:c>
      <x:c r="S90" s="15" t="str">
        <x:v>no_source_candidate</x:v>
      </x:c>
      <x:c r="T90" s="15" t="str">
        <x:v>manual_exchange_review_pass_pending_T08</x:v>
      </x:c>
      <x:c r="U90" s="15" t="str">
        <x:v>B_transcript_adjudication_candidate</x:v>
      </x:c>
      <x:c r="V90" s="16" t="str">
        <x:v>not_started</x:v>
      </x:c>
      <x:c r="W90" s="16"/>
      <x:c r="X90" s="16"/>
      <x:c r="Y90" s="16"/>
      <x:c r="Z90" s="16"/>
      <x:c r="AA90" s="16"/>
      <x:c r="AB90" s="16"/>
      <x:c r="AC90" s="16"/>
      <x:c r="AD90" s="16"/>
      <x:c r="AE90" s="16"/>
      <x:c r="AF90" s="16"/>
      <x:c r="AG90" s="16"/>
      <x:c r="AH90" s="16"/>
      <x:c r="AI90" s="16"/>
      <x:c r="AJ90" s="16"/>
      <x:c r="AK90" s="16"/>
      <x:c r="AL90" s="16"/>
      <x:c r="AM90" s="16"/>
      <x:c r="AN90" s="16"/>
      <x:c r="AO90" s="16"/>
      <x:c r="AP90" s="16"/>
      <x:c r="AQ90" s="16"/>
      <x:c r="AR90" s="16"/>
      <x:c r="AS90" s="16"/>
      <x:c r="AT90" s="20"/>
      <x:c r="AU90" s="16"/>
      <x:c r="AV90" s="16"/>
      <x:c r="AW90" s="16" t="str">
        <x:v>pending</x:v>
      </x:c>
      <x:c r="AX90" s="17" t="str">
        <x:v>blocked_not_validated</x:v>
      </x:c>
      <x:c r="AY90" s="18" t="str">
        <x:f>IF(OR(C90="yes",X90="corrected",COUNTIF(Z90:AL90,"major")&gt;0,COUNTIF(Z90:AL90,"blocker")&gt;0,OR(AO90="repair",AO90="segment",AO90="replace",AO90="block")),"yes","no")</x:f>
        <x:v>no</x:v>
      </x:c>
      <x:c r="AZ90" s="18" t="str">
        <x:f>IF(AND(V90="reviewed",W90&gt;=1,X90&lt;&gt;"",Y90&lt;&gt;"",COUNTA(Z90:AL90)=13,AM90&lt;&gt;"",AN90&lt;&gt;"",AO90&lt;&gt;"",AP90&lt;&gt;"",AQ90&lt;&gt;"",AR90&lt;&gt;"",AS90="I_listened_at_1x_and_completed_all_required_fields",AT90&lt;&gt;"",AW90="adjudicated",OR(AY90="no",AND(AU90&lt;&gt;"",AV90&lt;&gt;""))),"complete","incomplete")</x:f>
        <x:v>incomplete</x:v>
      </x:c>
      <x:c r="BA90" s="18" t="str">
        <x:f>IF(AZ90="complete","none","faltan campos humanos, adjudicación o segunda revisión")</x:f>
        <x:v>faltan campos humanos, adjudicación o segunda revisión</x:v>
      </x:c>
    </x:row>
    <x:row r="91" ht="36" customHeight="1">
      <x:c r="A91" s="15" t="n">
        <x:v>90</x:v>
      </x:c>
      <x:c r="B91" s="15" t="str">
        <x:v>P1-CHOOSE</x:v>
      </x:c>
      <x:c r="C91" s="15" t="str">
        <x:v>no</x:v>
      </x:c>
      <x:c r="D91" s="15" t="str">
        <x:v>asset:toefl:set-10:part-5:listen-choose-5</x:v>
      </x:c>
      <x:c r="E91" s="15" t="str">
        <x:v>set-10</x:v>
      </x:c>
      <x:c r="F91" s="15" t="str">
        <x:v>Listen and Choose a Response</x:v>
      </x:c>
      <x:c r="G91" s="15" t="str">
        <x:v>/Users/josedavidduartesilva/Developer/idiomaswl/public/audio/toefl/set-10/listen-choose-5.mp3</x:v>
      </x:c>
      <x:c r="H91" s="19" t="n">
        <x:v>3.22</x:v>
      </x:c>
      <x:c r="I91" s="15" t="str">
        <x:v>P1</x:v>
      </x:c>
      <x:c r="J91" s="15" t="str">
        <x:v>100_percent_required_T08</x:v>
      </x:c>
      <x:c r="K91" s="15" t="str">
        <x:v>pass_automated_T06</x:v>
      </x:c>
      <x:c r="L91" s="15" t="str">
        <x:v>none</x:v>
      </x:c>
      <x:c r="M91" s="15" t="str">
        <x:v>none</x:v>
      </x:c>
      <x:c r="N91" s="15" t="str">
        <x:v>conserve_source_technical_candidate</x:v>
      </x:c>
      <x:c r="O91" s="15" t="str">
        <x:v>asr_candidate_recovered_pending_human</x:v>
      </x:c>
      <x:c r="P91" s="15" t="str">
        <x:v>LING-SOURCE-001;LING-STRESS-001</x:v>
      </x:c>
      <x:c r="Q91" s="15" t="str"/>
      <x:c r="R91" s="15" t="str">
        <x:v>So, did you hear back about that job you interviewed for?</x:v>
      </x:c>
      <x:c r="S91" s="15" t="str">
        <x:v>no_source_candidate</x:v>
      </x:c>
      <x:c r="T91" s="15" t="str">
        <x:v>manual_exchange_review_pass_pending_T08</x:v>
      </x:c>
      <x:c r="U91" s="15" t="str">
        <x:v>B_transcript_adjudication_candidate</x:v>
      </x:c>
      <x:c r="V91" s="16" t="str">
        <x:v>not_started</x:v>
      </x:c>
      <x:c r="W91" s="16"/>
      <x:c r="X91" s="16"/>
      <x:c r="Y91" s="16"/>
      <x:c r="Z91" s="16"/>
      <x:c r="AA91" s="16"/>
      <x:c r="AB91" s="16"/>
      <x:c r="AC91" s="16"/>
      <x:c r="AD91" s="16"/>
      <x:c r="AE91" s="16"/>
      <x:c r="AF91" s="16"/>
      <x:c r="AG91" s="16"/>
      <x:c r="AH91" s="16"/>
      <x:c r="AI91" s="16"/>
      <x:c r="AJ91" s="16"/>
      <x:c r="AK91" s="16"/>
      <x:c r="AL91" s="16"/>
      <x:c r="AM91" s="16"/>
      <x:c r="AN91" s="16"/>
      <x:c r="AO91" s="16"/>
      <x:c r="AP91" s="16"/>
      <x:c r="AQ91" s="16"/>
      <x:c r="AR91" s="16"/>
      <x:c r="AS91" s="16"/>
      <x:c r="AT91" s="20"/>
      <x:c r="AU91" s="16"/>
      <x:c r="AV91" s="16"/>
      <x:c r="AW91" s="16" t="str">
        <x:v>pending</x:v>
      </x:c>
      <x:c r="AX91" s="17" t="str">
        <x:v>blocked_not_validated</x:v>
      </x:c>
      <x:c r="AY91" s="18" t="str">
        <x:f>IF(OR(C91="yes",X91="corrected",COUNTIF(Z91:AL91,"major")&gt;0,COUNTIF(Z91:AL91,"blocker")&gt;0,OR(AO91="repair",AO91="segment",AO91="replace",AO91="block")),"yes","no")</x:f>
        <x:v>no</x:v>
      </x:c>
      <x:c r="AZ91" s="18" t="str">
        <x:f>IF(AND(V91="reviewed",W91&gt;=1,X91&lt;&gt;"",Y91&lt;&gt;"",COUNTA(Z91:AL91)=13,AM91&lt;&gt;"",AN91&lt;&gt;"",AO91&lt;&gt;"",AP91&lt;&gt;"",AQ91&lt;&gt;"",AR91&lt;&gt;"",AS91="I_listened_at_1x_and_completed_all_required_fields",AT91&lt;&gt;"",AW91="adjudicated",OR(AY91="no",AND(AU91&lt;&gt;"",AV91&lt;&gt;""))),"complete","incomplete")</x:f>
        <x:v>incomplete</x:v>
      </x:c>
      <x:c r="BA91" s="18" t="str">
        <x:f>IF(AZ91="complete","none","faltan campos humanos, adjudicación o segunda revisión")</x:f>
        <x:v>faltan campos humanos, adjudicación o segunda revisión</x:v>
      </x:c>
    </x:row>
    <x:row r="92" ht="36" customHeight="1">
      <x:c r="A92" s="15" t="n">
        <x:v>91</x:v>
      </x:c>
      <x:c r="B92" s="15" t="str">
        <x:v>P1-LONG</x:v>
      </x:c>
      <x:c r="C92" s="15" t="str">
        <x:v>no</x:v>
      </x:c>
      <x:c r="D92" s="15" t="str">
        <x:v>asset:toefl:set-10:part-6:conversation</x:v>
      </x:c>
      <x:c r="E92" s="15" t="str">
        <x:v>set-10</x:v>
      </x:c>
      <x:c r="F92" s="15" t="str">
        <x:v>Listen to a Conversation</x:v>
      </x:c>
      <x:c r="G92" s="15" t="str">
        <x:v>/Users/josedavidduartesilva/Developer/idiomaswl/public/audio/toefl/set-10/conversation.mp3</x:v>
      </x:c>
      <x:c r="H92" s="19" t="n">
        <x:v>75.36</x:v>
      </x:c>
      <x:c r="I92" s="15" t="str">
        <x:v>P1</x:v>
      </x:c>
      <x:c r="J92" s="15" t="str">
        <x:v>100_percent_required_T08_T15</x:v>
      </x:c>
      <x:c r="K92" s="15" t="str">
        <x:v>pass_automated_T06</x:v>
      </x:c>
      <x:c r="L92" s="15" t="str">
        <x:v>none</x:v>
      </x:c>
      <x:c r="M92" s="15" t="str">
        <x:v>none</x:v>
      </x:c>
      <x:c r="N92" s="15" t="str">
        <x:v>conserve_source_technical_candidate</x:v>
      </x:c>
      <x:c r="O92" s="15" t="str">
        <x:v>source_exact_normalized_supported_pending_human</x:v>
      </x:c>
      <x:c r="P92" s="15" t="str">
        <x:v>LING-LEN-001</x:v>
      </x:c>
      <x:c r="Q92" s="15" t="str">
        <x:v>STUDENT: Hi, thanks for seeing me. I'm a second-year biology major, but lately I've been wondering if I should switch to environmental science.
ADVISOR: That's a big decision. What's drawing you toward environmental science?
STUDENT: Honestly, I love my biology classes, but I keep feeling like I want to work on real-world problems — climate, conservation, that kind of thing. Environmental science seems more focused on that.
ADVISOR: That's a good instinct to explore. Before you switch, though, let me point something out. A lot of the biology courses you've already taken would count toward an environmental science degree — ecology, chemistry, statistics. So switching now probably wouldn't set you back much.
STUDENT: Oh, that's reassuring. I was worried I'd lose a whole year.
ADVISOR: You likely wouldn't. But here's my advice: before you make it official, take one environmental science elective next semester. That way you can test whether the actual coursework matches what you're imagining. Sometimes a field sounds perfect until you're in the classroom.
STUDENT: That makes a lot of sense. I'd rather try one course than commit blindly.
ADVISOR: Exactly. Take the elective, see how it feels, and come back and talk to me at the end of the semester. Then we'll decide together.</x:v>
      </x:c>
      <x:c r="R92" s="15" t="str">
        <x:v>Hi, thanks for seeing me. I'm a second year biology major, but lately I've been wondering if I should switch to environmental science. That's a big decision. What's drawing you toward environmental science? Honestly, I love my biology classes, but I keep feeling like I want to work on real-world problems, climate, conservation, that kind of thing. Environmental science seems more focused on that. That's a good instinct to explore. Before you switch though, let me point something out. A lot of the biology courses you've already taken would count toward an environmental science degree. Ecology, chemistry, statistics. So switching now probably wouldn't set you back much. Oh, that's reassuring. I was worried I'd lose a whole year. You likely wouldn't. But here's my advice. Before you make it official, take one environmental science elective next semester. That way you can test whether the actual coursework matches what you're imagining. Sometimes a field sounds perfect until you're in the classroom. That makes a lot of sense. I'd rather try one course than commit blindly. Exactly. Take the elective, see how it feels, and come back and talk to me at the end of the semester. Then we'll decide together.</x:v>
      </x:c>
      <x:c r="S92" s="15" t="str">
        <x:v>none</x:v>
      </x:c>
      <x:c r="T92" s="15" t="str">
        <x:v>source_contract_preserved_subject_to_T08</x:v>
      </x:c>
      <x:c r="U92" s="15" t="str">
        <x:v>C_linguistic_segment_or_reframe_candidate</x:v>
      </x:c>
      <x:c r="V92" s="16" t="str">
        <x:v>not_started</x:v>
      </x:c>
      <x:c r="W92" s="16"/>
      <x:c r="X92" s="16"/>
      <x:c r="Y92" s="16"/>
      <x:c r="Z92" s="16"/>
      <x:c r="AA92" s="16"/>
      <x:c r="AB92" s="16"/>
      <x:c r="AC92" s="16"/>
      <x:c r="AD92" s="16"/>
      <x:c r="AE92" s="16"/>
      <x:c r="AF92" s="16"/>
      <x:c r="AG92" s="16"/>
      <x:c r="AH92" s="16"/>
      <x:c r="AI92" s="16"/>
      <x:c r="AJ92" s="16"/>
      <x:c r="AK92" s="16"/>
      <x:c r="AL92" s="16"/>
      <x:c r="AM92" s="16"/>
      <x:c r="AN92" s="16"/>
      <x:c r="AO92" s="16"/>
      <x:c r="AP92" s="16"/>
      <x:c r="AQ92" s="16"/>
      <x:c r="AR92" s="16"/>
      <x:c r="AS92" s="16"/>
      <x:c r="AT92" s="20"/>
      <x:c r="AU92" s="16"/>
      <x:c r="AV92" s="16"/>
      <x:c r="AW92" s="16" t="str">
        <x:v>pending</x:v>
      </x:c>
      <x:c r="AX92" s="17" t="str">
        <x:v>blocked_not_validated</x:v>
      </x:c>
      <x:c r="AY92" s="18" t="str">
        <x:f>IF(OR(C92="yes",X92="corrected",COUNTIF(Z92:AL92,"major")&gt;0,COUNTIF(Z92:AL92,"blocker")&gt;0,OR(AO92="repair",AO92="segment",AO92="replace",AO92="block")),"yes","no")</x:f>
        <x:v>no</x:v>
      </x:c>
      <x:c r="AZ92" s="18" t="str">
        <x:f>IF(AND(V92="reviewed",W92&gt;=1,X92&lt;&gt;"",Y92&lt;&gt;"",COUNTA(Z92:AL92)=13,AM92&lt;&gt;"",AN92&lt;&gt;"",AO92&lt;&gt;"",AP92&lt;&gt;"",AQ92&lt;&gt;"",AR92&lt;&gt;"",AS92="I_listened_at_1x_and_completed_all_required_fields",AT92&lt;&gt;"",AW92="adjudicated",OR(AY92="no",AND(AU92&lt;&gt;"",AV92&lt;&gt;""))),"complete","incomplete")</x:f>
        <x:v>incomplete</x:v>
      </x:c>
      <x:c r="BA92" s="18" t="str">
        <x:f>IF(AZ92="complete","none","faltan campos humanos, adjudicación o segunda revisión")</x:f>
        <x:v>faltan campos humanos, adjudicación o segunda revisión</x:v>
      </x:c>
    </x:row>
    <x:row r="93" ht="36" customHeight="1">
      <x:c r="A93" s="15" t="n">
        <x:v>92</x:v>
      </x:c>
      <x:c r="B93" s="15" t="str">
        <x:v>P1-LONG</x:v>
      </x:c>
      <x:c r="C93" s="15" t="str">
        <x:v>no</x:v>
      </x:c>
      <x:c r="D93" s="15" t="str">
        <x:v>asset:toefl:set-10:part-7:announcement</x:v>
      </x:c>
      <x:c r="E93" s="15" t="str">
        <x:v>set-10</x:v>
      </x:c>
      <x:c r="F93" s="15" t="str">
        <x:v>Listen to an Announcement</x:v>
      </x:c>
      <x:c r="G93" s="15" t="str">
        <x:v>/Users/josedavidduartesilva/Developer/idiomaswl/public/audio/toefl/set-10/announcement.mp3</x:v>
      </x:c>
      <x:c r="H93" s="19" t="n">
        <x:v>44.18</x:v>
      </x:c>
      <x:c r="I93" s="15" t="str">
        <x:v>P1</x:v>
      </x:c>
      <x:c r="J93" s="15" t="str">
        <x:v>100_percent_required_T08_T15</x:v>
      </x:c>
      <x:c r="K93" s="15" t="str">
        <x:v>pass_automated_T06</x:v>
      </x:c>
      <x:c r="L93" s="15" t="str">
        <x:v>none</x:v>
      </x:c>
      <x:c r="M93" s="15" t="str">
        <x:v>none</x:v>
      </x:c>
      <x:c r="N93" s="15" t="str">
        <x:v>conserve_source_technical_candidate</x:v>
      </x:c>
      <x:c r="O93" s="15" t="str">
        <x:v>source_minor_diff_supported_pending_human</x:v>
      </x:c>
      <x:c r="P93" s="15" t="str">
        <x:v>LING-DIFF-001;LING-LEN-001</x:v>
      </x:c>
      <x:c r="Q93" s="15" t="str">
        <x:v>Good evening, residents. This is a brief announcement from the residence hall management. Starting this weekend, we will be upgrading the internet system throughout the building to provide faster and more reliable service. As part of this work, the internet may be temporarily unavailable on Saturday between eight a.m. and noon.
We recommend planning any important online work — such as submitting assignments or attending online classes — around this window. If you have a deadline on Saturday morning, please consider using the computer lab in the library, which will not be affected. Once the upgrade is complete, you should notice a significant improvement in connection speed, especially in the evenings when usage is highest. We appreciate your patience during this short interruption. Thank you.</x:v>
      </x:c>
      <x:c r="R93" s="15" t="str">
        <x:v>Good evening residents. This is a brief announcement from the residence hall management. Starting this weekend, we will be upgrading the internet system throughout the building to provide faster and more reliable service. As part of this work, the internet may be temporarily unavailable on Saturday between 8am and noon. We recommend planning any important online work such as submitting assignments or attending online classes around this window. If you have a deadline on Saturday morning, please consider using the computer lab in the library, which will not be affected. Once the upgrade is complete, you should notice a significant improvement in connection speed, especially in the evenings when usage is highest. We appreciate your patience during this short interruption. Thank you.</x:v>
      </x:c>
      <x:c r="S93" s="15" t="str">
        <x:v>D:a | S:m→am</x:v>
      </x:c>
      <x:c r="T93" s="15" t="str">
        <x:v>source_contract_preserved_subject_to_T08</x:v>
      </x:c>
      <x:c r="U93" s="15" t="str">
        <x:v>C_linguistic_segment_or_reframe_candidate</x:v>
      </x:c>
      <x:c r="V93" s="16" t="str">
        <x:v>not_started</x:v>
      </x:c>
      <x:c r="W93" s="16"/>
      <x:c r="X93" s="16"/>
      <x:c r="Y93" s="16"/>
      <x:c r="Z93" s="16"/>
      <x:c r="AA93" s="16"/>
      <x:c r="AB93" s="16"/>
      <x:c r="AC93" s="16"/>
      <x:c r="AD93" s="16"/>
      <x:c r="AE93" s="16"/>
      <x:c r="AF93" s="16"/>
      <x:c r="AG93" s="16"/>
      <x:c r="AH93" s="16"/>
      <x:c r="AI93" s="16"/>
      <x:c r="AJ93" s="16"/>
      <x:c r="AK93" s="16"/>
      <x:c r="AL93" s="16"/>
      <x:c r="AM93" s="16"/>
      <x:c r="AN93" s="16"/>
      <x:c r="AO93" s="16"/>
      <x:c r="AP93" s="16"/>
      <x:c r="AQ93" s="16"/>
      <x:c r="AR93" s="16"/>
      <x:c r="AS93" s="16"/>
      <x:c r="AT93" s="20"/>
      <x:c r="AU93" s="16"/>
      <x:c r="AV93" s="16"/>
      <x:c r="AW93" s="16" t="str">
        <x:v>pending</x:v>
      </x:c>
      <x:c r="AX93" s="17" t="str">
        <x:v>blocked_not_validated</x:v>
      </x:c>
      <x:c r="AY93" s="18" t="str">
        <x:f>IF(OR(C93="yes",X93="corrected",COUNTIF(Z93:AL93,"major")&gt;0,COUNTIF(Z93:AL93,"blocker")&gt;0,OR(AO93="repair",AO93="segment",AO93="replace",AO93="block")),"yes","no")</x:f>
        <x:v>no</x:v>
      </x:c>
      <x:c r="AZ93" s="18" t="str">
        <x:f>IF(AND(V93="reviewed",W93&gt;=1,X93&lt;&gt;"",Y93&lt;&gt;"",COUNTA(Z93:AL93)=13,AM93&lt;&gt;"",AN93&lt;&gt;"",AO93&lt;&gt;"",AP93&lt;&gt;"",AQ93&lt;&gt;"",AR93&lt;&gt;"",AS93="I_listened_at_1x_and_completed_all_required_fields",AT93&lt;&gt;"",AW93="adjudicated",OR(AY93="no",AND(AU93&lt;&gt;"",AV93&lt;&gt;""))),"complete","incomplete")</x:f>
        <x:v>incomplete</x:v>
      </x:c>
      <x:c r="BA93" s="18" t="str">
        <x:f>IF(AZ93="complete","none","faltan campos humanos, adjudicación o segunda revisión")</x:f>
        <x:v>faltan campos humanos, adjudicación o segunda revisión</x:v>
      </x:c>
    </x:row>
    <x:row r="94" ht="36" customHeight="1">
      <x:c r="A94" s="15" t="n">
        <x:v>93</x:v>
      </x:c>
      <x:c r="B94" s="15" t="str">
        <x:v>P1-LONG</x:v>
      </x:c>
      <x:c r="C94" s="15" t="str">
        <x:v>no</x:v>
      </x:c>
      <x:c r="D94" s="15" t="str">
        <x:v>asset:toefl:set-10:part-8:academic-talk</x:v>
      </x:c>
      <x:c r="E94" s="15" t="str">
        <x:v>set-10</x:v>
      </x:c>
      <x:c r="F94" s="15" t="str">
        <x:v>Listen to an Academic Talk</x:v>
      </x:c>
      <x:c r="G94" s="15" t="str">
        <x:v>/Users/josedavidduartesilva/Developer/idiomaswl/public/audio/toefl/set-10/academic-talk.mp3</x:v>
      </x:c>
      <x:c r="H94" s="19" t="n">
        <x:v>111.14</x:v>
      </x:c>
      <x:c r="I94" s="15" t="str">
        <x:v>P1</x:v>
      </x:c>
      <x:c r="J94" s="15" t="str">
        <x:v>100_percent_required_T08_T15</x:v>
      </x:c>
      <x:c r="K94" s="15" t="str">
        <x:v>fail_actionable</x:v>
      </x:c>
      <x:c r="L94" s="15" t="str">
        <x:v>TECH-LDN-002</x:v>
      </x:c>
      <x:c r="M94" s="15" t="str">
        <x:v>TECH-PEAK-003</x:v>
      </x:c>
      <x:c r="N94" s="15" t="str">
        <x:v>measure_gain_create_versioned_normalized_variant</x:v>
      </x:c>
      <x:c r="O94" s="15" t="str">
        <x:v>source_minor_diff_supported_pending_human</x:v>
      </x:c>
      <x:c r="P94" s="15" t="str">
        <x:v>LING-DIFF-001;TECH-T06-FAIL;LING-LEN-002</x:v>
      </x:c>
      <x:c r="Q94" s="15" t="str">
        <x:v>PROFESSOR: Today I want to introduce an idea from economics that has a surprisingly wide reach: the concept of opportunity cost. It sounds technical, but it captures something we all experience every day. Opportunity cost is simply the value of the next-best thing you give up when you make a choice.
Here's the key insight: every choice has a cost, even when no money changes hands. Suppose you have a free Saturday afternoon. You could study, sleep, see friends, or work a shift for extra money. If you choose to study, the opportunity cost isn't zero just because studying is free — the cost is whatever you valued most among the things you gave up. Maybe that's the income from the shift you didn't work, or the relaxation you sacrificed. Economists argue that the true cost of anything is what you forgo to get it.
Why does this matter? Because people often ignore opportunity costs and focus only on out-of-pocket expenses. Imagine a business owner who owns her shop building and thinks she has no rent to pay. An economist would point out that she does have a cost: she could be renting that building to someone else. By using it herself, she gives up that rental income. That forgone income is a real opportunity cost, even though no bill arrives in the mail.
The concept also explains why "free" is rarely truly free. A free two-hour seminar still costs you two hours you could have spent otherwise. So the next time you evaluate a decision, don't just ask what it costs in dollars. Ask what you're giving up. Thinking in terms of opportunity cost tends to lead to better decisions, because it forces you to compare your choice against the best available alternative, not against nothing.</x:v>
      </x:c>
      <x:c r="R94" s="15" t="str">
        <x:v>Today I want to introduce an idea from economics that has a surprisingly wide reach, the concept of opportunity cost. It sounds technical, but it captures something we all experience every day. Opportunity cost is simply the value of the next best thing you give up when you make a choice. Here's the key insight. Every choice has a cost, even when no money changes hands. Suppose you have a free Saturday afternoon. You could study, sleep, see friends, or work a shift for extra money. If you choose to study, the opportunity cost isn't zero just because studying is free. The cost is whatever you valued most among the things you gave up. Maybe that's the income from the shift you didn't work or the relaxation you sacrificed. Economists argue that the true cost of anything is what you forgo to get it. Why does this matter? Because people often ignore opportunity costs and focus only on out-of-pocket expenses. Imagine a business owner who owns her shop building and thinks she has no rent to pay. An economist would point out that she does have a cost. She could be renting that building to someone else. By using it herself, she gives up that rental income. That foregone income is a real opportunity cost, even though no bill arrives in the mail. The concept also explains why free is rarely truly free. A free two-hour seminar still costs you two hours you could have spent otherwise. So the next time you evaluate a decision, don't just ask what it costs in dollars. Ask what you're giving up. Thinking in terms of opportunity cost tends to lead to better decisions, because it forces you to compare your choice against the best available alternative, not against nothing.</x:v>
      </x:c>
      <x:c r="S94" s="15" t="str">
        <x:v>S:forgone→foregone</x:v>
      </x:c>
      <x:c r="T94" s="15" t="str">
        <x:v>source_contract_preserved_subject_to_T08</x:v>
      </x:c>
      <x:c r="U94" s="15" t="str">
        <x:v>C_linguistic_segment_or_reframe_candidate</x:v>
      </x:c>
      <x:c r="V94" s="16" t="str">
        <x:v>not_started</x:v>
      </x:c>
      <x:c r="W94" s="16"/>
      <x:c r="X94" s="16"/>
      <x:c r="Y94" s="16"/>
      <x:c r="Z94" s="16"/>
      <x:c r="AA94" s="16"/>
      <x:c r="AB94" s="16"/>
      <x:c r="AC94" s="16"/>
      <x:c r="AD94" s="16"/>
      <x:c r="AE94" s="16"/>
      <x:c r="AF94" s="16"/>
      <x:c r="AG94" s="16"/>
      <x:c r="AH94" s="16"/>
      <x:c r="AI94" s="16"/>
      <x:c r="AJ94" s="16"/>
      <x:c r="AK94" s="16"/>
      <x:c r="AL94" s="16"/>
      <x:c r="AM94" s="16"/>
      <x:c r="AN94" s="16"/>
      <x:c r="AO94" s="16"/>
      <x:c r="AP94" s="16"/>
      <x:c r="AQ94" s="16"/>
      <x:c r="AR94" s="16"/>
      <x:c r="AS94" s="16"/>
      <x:c r="AT94" s="20"/>
      <x:c r="AU94" s="16"/>
      <x:c r="AV94" s="16"/>
      <x:c r="AW94" s="16" t="str">
        <x:v>pending</x:v>
      </x:c>
      <x:c r="AX94" s="17" t="str">
        <x:v>blocked_not_validated</x:v>
      </x:c>
      <x:c r="AY94" s="18" t="str">
        <x:f>IF(OR(C94="yes",X94="corrected",COUNTIF(Z94:AL94,"major")&gt;0,COUNTIF(Z94:AL94,"blocker")&gt;0,OR(AO94="repair",AO94="segment",AO94="replace",AO94="block")),"yes","no")</x:f>
        <x:v>no</x:v>
      </x:c>
      <x:c r="AZ94" s="18" t="str">
        <x:f>IF(AND(V94="reviewed",W94&gt;=1,X94&lt;&gt;"",Y94&lt;&gt;"",COUNTA(Z94:AL94)=13,AM94&lt;&gt;"",AN94&lt;&gt;"",AO94&lt;&gt;"",AP94&lt;&gt;"",AQ94&lt;&gt;"",AR94&lt;&gt;"",AS94="I_listened_at_1x_and_completed_all_required_fields",AT94&lt;&gt;"",AW94="adjudicated",OR(AY94="no",AND(AU94&lt;&gt;"",AV94&lt;&gt;""))),"complete","incomplete")</x:f>
        <x:v>incomplete</x:v>
      </x:c>
      <x:c r="BA94" s="18" t="str">
        <x:f>IF(AZ94="complete","none","faltan campos humanos, adjudicación o segunda revisión")</x:f>
        <x:v>faltan campos humanos, adjudicación o segunda revisión</x:v>
      </x:c>
    </x:row>
    <x:row r="95" ht="36" customHeight="1">
      <x:c r="A95" s="15" t="n">
        <x:v>94</x:v>
      </x:c>
      <x:c r="B95" s="15" t="str">
        <x:v>P1-REPEAT</x:v>
      </x:c>
      <x:c r="C95" s="15" t="str">
        <x:v>no</x:v>
      </x:c>
      <x:c r="D95" s="15" t="str">
        <x:v>asset:toefl:set-10:part-12:repeat-3</x:v>
      </x:c>
      <x:c r="E95" s="15" t="str">
        <x:v>set-10</x:v>
      </x:c>
      <x:c r="F95" s="15" t="str">
        <x:v>Listen and Repeat</x:v>
      </x:c>
      <x:c r="G95" s="15" t="str">
        <x:v>/Users/josedavidduartesilva/Developer/idiomaswl/public/audio/toefl/set-10/repeat-3.mp3</x:v>
      </x:c>
      <x:c r="H95" s="19" t="n">
        <x:v>3.94</x:v>
      </x:c>
      <x:c r="I95" s="15" t="str">
        <x:v>P1</x:v>
      </x:c>
      <x:c r="J95" s="15" t="str">
        <x:v>100_percent_required_T08</x:v>
      </x:c>
      <x:c r="K95" s="15" t="str">
        <x:v>pass_automated_T06</x:v>
      </x:c>
      <x:c r="L95" s="15" t="str">
        <x:v>none</x:v>
      </x:c>
      <x:c r="M95" s="15" t="str">
        <x:v>none</x:v>
      </x:c>
      <x:c r="N95" s="15" t="str">
        <x:v>conserve_source_technical_candidate</x:v>
      </x:c>
      <x:c r="O95" s="15" t="str">
        <x:v>source_material_diff_pending_human</x:v>
      </x:c>
      <x:c r="P95" s="15" t="str">
        <x:v>LING-DIFF-001</x:v>
      </x:c>
      <x:c r="Q95" s="15" t="str">
        <x:v>The volunteers cleaned the beach every Saturday morning.</x:v>
      </x:c>
      <x:c r="R95" s="15" t="str">
        <x:v>The volunteers clean the beach every Saturday morning.</x:v>
      </x:c>
      <x:c r="S95" s="15" t="str">
        <x:v>S:cleaned→clean</x:v>
      </x:c>
      <x:c r="T95" s="15" t="str">
        <x:v>source_contract_preserved_subject_to_T08</x:v>
      </x:c>
      <x:c r="U95" s="15" t="str">
        <x:v>B_linguistic_adjudication_or_repair_candidate</x:v>
      </x:c>
      <x:c r="V95" s="16" t="str">
        <x:v>not_started</x:v>
      </x:c>
      <x:c r="W95" s="16"/>
      <x:c r="X95" s="16"/>
      <x:c r="Y95" s="16"/>
      <x:c r="Z95" s="16"/>
      <x:c r="AA95" s="16"/>
      <x:c r="AB95" s="16"/>
      <x:c r="AC95" s="16"/>
      <x:c r="AD95" s="16"/>
      <x:c r="AE95" s="16"/>
      <x:c r="AF95" s="16"/>
      <x:c r="AG95" s="16"/>
      <x:c r="AH95" s="16"/>
      <x:c r="AI95" s="16"/>
      <x:c r="AJ95" s="16"/>
      <x:c r="AK95" s="16"/>
      <x:c r="AL95" s="16"/>
      <x:c r="AM95" s="16"/>
      <x:c r="AN95" s="16"/>
      <x:c r="AO95" s="16"/>
      <x:c r="AP95" s="16"/>
      <x:c r="AQ95" s="16"/>
      <x:c r="AR95" s="16"/>
      <x:c r="AS95" s="16"/>
      <x:c r="AT95" s="20"/>
      <x:c r="AU95" s="16"/>
      <x:c r="AV95" s="16"/>
      <x:c r="AW95" s="16" t="str">
        <x:v>pending</x:v>
      </x:c>
      <x:c r="AX95" s="17" t="str">
        <x:v>blocked_not_validated</x:v>
      </x:c>
      <x:c r="AY95" s="18" t="str">
        <x:f>IF(OR(C95="yes",X95="corrected",COUNTIF(Z95:AL95,"major")&gt;0,COUNTIF(Z95:AL95,"blocker")&gt;0,OR(AO95="repair",AO95="segment",AO95="replace",AO95="block")),"yes","no")</x:f>
        <x:v>no</x:v>
      </x:c>
      <x:c r="AZ95" s="18" t="str">
        <x:f>IF(AND(V95="reviewed",W95&gt;=1,X95&lt;&gt;"",Y95&lt;&gt;"",COUNTA(Z95:AL95)=13,AM95&lt;&gt;"",AN95&lt;&gt;"",AO95&lt;&gt;"",AP95&lt;&gt;"",AQ95&lt;&gt;"",AR95&lt;&gt;"",AS95="I_listened_at_1x_and_completed_all_required_fields",AT95&lt;&gt;"",AW95="adjudicated",OR(AY95="no",AND(AU95&lt;&gt;"",AV95&lt;&gt;""))),"complete","incomplete")</x:f>
        <x:v>incomplete</x:v>
      </x:c>
      <x:c r="BA95" s="18" t="str">
        <x:f>IF(AZ95="complete","none","faltan campos humanos, adjudicación o segunda revisión")</x:f>
        <x:v>faltan campos humanos, adjudicación o segunda revisión</x:v>
      </x:c>
    </x:row>
    <x:row r="96" ht="36" customHeight="1">
      <x:c r="A96" s="15" t="n">
        <x:v>95</x:v>
      </x:c>
      <x:c r="B96" s="15" t="str">
        <x:v>P1-CHOOSE</x:v>
      </x:c>
      <x:c r="C96" s="15" t="str">
        <x:v>no</x:v>
      </x:c>
      <x:c r="D96" s="15" t="str">
        <x:v>asset:toefl:set-11:part-5:listen-choose-1</x:v>
      </x:c>
      <x:c r="E96" s="15" t="str">
        <x:v>set-11</x:v>
      </x:c>
      <x:c r="F96" s="15" t="str">
        <x:v>Listen and Choose a Response</x:v>
      </x:c>
      <x:c r="G96" s="15" t="str">
        <x:v>/Users/josedavidduartesilva/Developer/idiomaswl/public/audio/toefl/set-11/listen-choose-1.mp3</x:v>
      </x:c>
      <x:c r="H96" s="19" t="n">
        <x:v>3.38</x:v>
      </x:c>
      <x:c r="I96" s="15" t="str">
        <x:v>P1</x:v>
      </x:c>
      <x:c r="J96" s="15" t="str">
        <x:v>100_percent_required_T08</x:v>
      </x:c>
      <x:c r="K96" s="15" t="str">
        <x:v>pass_automated_T06</x:v>
      </x:c>
      <x:c r="L96" s="15" t="str">
        <x:v>none</x:v>
      </x:c>
      <x:c r="M96" s="15" t="str">
        <x:v>none</x:v>
      </x:c>
      <x:c r="N96" s="15" t="str">
        <x:v>conserve_source_technical_candidate</x:v>
      </x:c>
      <x:c r="O96" s="15" t="str">
        <x:v>asr_candidate_recovered_pending_human</x:v>
      </x:c>
      <x:c r="P96" s="15" t="str">
        <x:v>LING-SOURCE-001;LING-STRESS-001</x:v>
      </x:c>
      <x:c r="Q96" s="15" t="str"/>
      <x:c r="R96" s="15" t="str">
        <x:v>Excuse me, could you tell me where the ticket office is?</x:v>
      </x:c>
      <x:c r="S96" s="15" t="str">
        <x:v>no_source_candidate</x:v>
      </x:c>
      <x:c r="T96" s="15" t="str">
        <x:v>manual_exchange_review_pass_pending_T08</x:v>
      </x:c>
      <x:c r="U96" s="15" t="str">
        <x:v>B_transcript_adjudication_candidate</x:v>
      </x:c>
      <x:c r="V96" s="16" t="str">
        <x:v>not_started</x:v>
      </x:c>
      <x:c r="W96" s="16"/>
      <x:c r="X96" s="16"/>
      <x:c r="Y96" s="16"/>
      <x:c r="Z96" s="16"/>
      <x:c r="AA96" s="16"/>
      <x:c r="AB96" s="16"/>
      <x:c r="AC96" s="16"/>
      <x:c r="AD96" s="16"/>
      <x:c r="AE96" s="16"/>
      <x:c r="AF96" s="16"/>
      <x:c r="AG96" s="16"/>
      <x:c r="AH96" s="16"/>
      <x:c r="AI96" s="16"/>
      <x:c r="AJ96" s="16"/>
      <x:c r="AK96" s="16"/>
      <x:c r="AL96" s="16"/>
      <x:c r="AM96" s="16"/>
      <x:c r="AN96" s="16"/>
      <x:c r="AO96" s="16"/>
      <x:c r="AP96" s="16"/>
      <x:c r="AQ96" s="16"/>
      <x:c r="AR96" s="16"/>
      <x:c r="AS96" s="16"/>
      <x:c r="AT96" s="20"/>
      <x:c r="AU96" s="16"/>
      <x:c r="AV96" s="16"/>
      <x:c r="AW96" s="16" t="str">
        <x:v>pending</x:v>
      </x:c>
      <x:c r="AX96" s="17" t="str">
        <x:v>blocked_not_validated</x:v>
      </x:c>
      <x:c r="AY96" s="18" t="str">
        <x:f>IF(OR(C96="yes",X96="corrected",COUNTIF(Z96:AL96,"major")&gt;0,COUNTIF(Z96:AL96,"blocker")&gt;0,OR(AO96="repair",AO96="segment",AO96="replace",AO96="block")),"yes","no")</x:f>
        <x:v>no</x:v>
      </x:c>
      <x:c r="AZ96" s="18" t="str">
        <x:f>IF(AND(V96="reviewed",W96&gt;=1,X96&lt;&gt;"",Y96&lt;&gt;"",COUNTA(Z96:AL96)=13,AM96&lt;&gt;"",AN96&lt;&gt;"",AO96&lt;&gt;"",AP96&lt;&gt;"",AQ96&lt;&gt;"",AR96&lt;&gt;"",AS96="I_listened_at_1x_and_completed_all_required_fields",AT96&lt;&gt;"",AW96="adjudicated",OR(AY96="no",AND(AU96&lt;&gt;"",AV96&lt;&gt;""))),"complete","incomplete")</x:f>
        <x:v>incomplete</x:v>
      </x:c>
      <x:c r="BA96" s="18" t="str">
        <x:f>IF(AZ96="complete","none","faltan campos humanos, adjudicación o segunda revisión")</x:f>
        <x:v>faltan campos humanos, adjudicación o segunda revisión</x:v>
      </x:c>
    </x:row>
    <x:row r="97" ht="36" customHeight="1">
      <x:c r="A97" s="15" t="n">
        <x:v>96</x:v>
      </x:c>
      <x:c r="B97" s="15" t="str">
        <x:v>P1-CHOOSE</x:v>
      </x:c>
      <x:c r="C97" s="15" t="str">
        <x:v>no</x:v>
      </x:c>
      <x:c r="D97" s="15" t="str">
        <x:v>asset:toefl:set-11:part-5:listen-choose-2</x:v>
      </x:c>
      <x:c r="E97" s="15" t="str">
        <x:v>set-11</x:v>
      </x:c>
      <x:c r="F97" s="15" t="str">
        <x:v>Listen and Choose a Response</x:v>
      </x:c>
      <x:c r="G97" s="15" t="str">
        <x:v>/Users/josedavidduartesilva/Developer/idiomaswl/public/audio/toefl/set-11/listen-choose-2.mp3</x:v>
      </x:c>
      <x:c r="H97" s="19" t="n">
        <x:v>2.58</x:v>
      </x:c>
      <x:c r="I97" s="15" t="str">
        <x:v>P1</x:v>
      </x:c>
      <x:c r="J97" s="15" t="str">
        <x:v>100_percent_required_T08</x:v>
      </x:c>
      <x:c r="K97" s="15" t="str">
        <x:v>pass_with_actionable_warning</x:v>
      </x:c>
      <x:c r="L97" s="15" t="str">
        <x:v>none</x:v>
      </x:c>
      <x:c r="M97" s="15" t="str">
        <x:v>TECH-LDN-003;TECH-PEAK-003</x:v>
      </x:c>
      <x:c r="N97" s="15" t="str">
        <x:v>review_warning_in_T08_before_conserve</x:v>
      </x:c>
      <x:c r="O97" s="15" t="str">
        <x:v>asr_candidate_recovered_pending_human</x:v>
      </x:c>
      <x:c r="P97" s="15" t="str">
        <x:v>LING-SOURCE-001;LING-STRESS-001</x:v>
      </x:c>
      <x:c r="Q97" s="15" t="str"/>
      <x:c r="R97" s="15" t="str">
        <x:v>Could you help me study for the test tonight?</x:v>
      </x:c>
      <x:c r="S97" s="15" t="str">
        <x:v>no_source_candidate</x:v>
      </x:c>
      <x:c r="T97" s="15" t="str">
        <x:v>manual_exchange_review_pass_pending_T08</x:v>
      </x:c>
      <x:c r="U97" s="15" t="str">
        <x:v>B_transcript_adjudication_candidate</x:v>
      </x:c>
      <x:c r="V97" s="16" t="str">
        <x:v>not_started</x:v>
      </x:c>
      <x:c r="W97" s="16"/>
      <x:c r="X97" s="16"/>
      <x:c r="Y97" s="16"/>
      <x:c r="Z97" s="16"/>
      <x:c r="AA97" s="16"/>
      <x:c r="AB97" s="16"/>
      <x:c r="AC97" s="16"/>
      <x:c r="AD97" s="16"/>
      <x:c r="AE97" s="16"/>
      <x:c r="AF97" s="16"/>
      <x:c r="AG97" s="16"/>
      <x:c r="AH97" s="16"/>
      <x:c r="AI97" s="16"/>
      <x:c r="AJ97" s="16"/>
      <x:c r="AK97" s="16"/>
      <x:c r="AL97" s="16"/>
      <x:c r="AM97" s="16"/>
      <x:c r="AN97" s="16"/>
      <x:c r="AO97" s="16"/>
      <x:c r="AP97" s="16"/>
      <x:c r="AQ97" s="16"/>
      <x:c r="AR97" s="16"/>
      <x:c r="AS97" s="16"/>
      <x:c r="AT97" s="20"/>
      <x:c r="AU97" s="16"/>
      <x:c r="AV97" s="16"/>
      <x:c r="AW97" s="16" t="str">
        <x:v>pending</x:v>
      </x:c>
      <x:c r="AX97" s="17" t="str">
        <x:v>blocked_not_validated</x:v>
      </x:c>
      <x:c r="AY97" s="18" t="str">
        <x:f>IF(OR(C97="yes",X97="corrected",COUNTIF(Z97:AL97,"major")&gt;0,COUNTIF(Z97:AL97,"blocker")&gt;0,OR(AO97="repair",AO97="segment",AO97="replace",AO97="block")),"yes","no")</x:f>
        <x:v>no</x:v>
      </x:c>
      <x:c r="AZ97" s="18" t="str">
        <x:f>IF(AND(V97="reviewed",W97&gt;=1,X97&lt;&gt;"",Y97&lt;&gt;"",COUNTA(Z97:AL97)=13,AM97&lt;&gt;"",AN97&lt;&gt;"",AO97&lt;&gt;"",AP97&lt;&gt;"",AQ97&lt;&gt;"",AR97&lt;&gt;"",AS97="I_listened_at_1x_and_completed_all_required_fields",AT97&lt;&gt;"",AW97="adjudicated",OR(AY97="no",AND(AU97&lt;&gt;"",AV97&lt;&gt;""))),"complete","incomplete")</x:f>
        <x:v>incomplete</x:v>
      </x:c>
      <x:c r="BA97" s="18" t="str">
        <x:f>IF(AZ97="complete","none","faltan campos humanos, adjudicación o segunda revisión")</x:f>
        <x:v>faltan campos humanos, adjudicación o segunda revisión</x:v>
      </x:c>
    </x:row>
    <x:row r="98" ht="36" customHeight="1">
      <x:c r="A98" s="15" t="n">
        <x:v>97</x:v>
      </x:c>
      <x:c r="B98" s="15" t="str">
        <x:v>P1-CHOOSE</x:v>
      </x:c>
      <x:c r="C98" s="15" t="str">
        <x:v>no</x:v>
      </x:c>
      <x:c r="D98" s="15" t="str">
        <x:v>asset:toefl:set-11:part-5:listen-choose-3</x:v>
      </x:c>
      <x:c r="E98" s="15" t="str">
        <x:v>set-11</x:v>
      </x:c>
      <x:c r="F98" s="15" t="str">
        <x:v>Listen and Choose a Response</x:v>
      </x:c>
      <x:c r="G98" s="15" t="str">
        <x:v>/Users/josedavidduartesilva/Developer/idiomaswl/public/audio/toefl/set-11/listen-choose-3.mp3</x:v>
      </x:c>
      <x:c r="H98" s="19" t="n">
        <x:v>2.26</x:v>
      </x:c>
      <x:c r="I98" s="15" t="str">
        <x:v>P1</x:v>
      </x:c>
      <x:c r="J98" s="15" t="str">
        <x:v>100_percent_required_T08</x:v>
      </x:c>
      <x:c r="K98" s="15" t="str">
        <x:v>fail_actionable</x:v>
      </x:c>
      <x:c r="L98" s="15" t="str">
        <x:v>TECH-LDN-002</x:v>
      </x:c>
      <x:c r="M98" s="15" t="str">
        <x:v>none</x:v>
      </x:c>
      <x:c r="N98" s="15" t="str">
        <x:v>measure_gain_create_versioned_normalized_variant</x:v>
      </x:c>
      <x:c r="O98" s="15" t="str">
        <x:v>asr_candidate_recovered_pending_human</x:v>
      </x:c>
      <x:c r="P98" s="15" t="str">
        <x:v>LING-SOURCE-001;TECH-T06-FAIL;LING-STRESS-001</x:v>
      </x:c>
      <x:c r="Q98" s="15" t="str"/>
      <x:c r="R98" s="15" t="str">
        <x:v>Do you know when the next train leaves?</x:v>
      </x:c>
      <x:c r="S98" s="15" t="str">
        <x:v>no_source_candidate</x:v>
      </x:c>
      <x:c r="T98" s="15" t="str">
        <x:v>manual_exchange_review_pass_pending_T08</x:v>
      </x:c>
      <x:c r="U98" s="15" t="str">
        <x:v>B_transcript_adjudication_candidate</x:v>
      </x:c>
      <x:c r="V98" s="16" t="str">
        <x:v>not_started</x:v>
      </x:c>
      <x:c r="W98" s="16"/>
      <x:c r="X98" s="16"/>
      <x:c r="Y98" s="16"/>
      <x:c r="Z98" s="16"/>
      <x:c r="AA98" s="16"/>
      <x:c r="AB98" s="16"/>
      <x:c r="AC98" s="16"/>
      <x:c r="AD98" s="16"/>
      <x:c r="AE98" s="16"/>
      <x:c r="AF98" s="16"/>
      <x:c r="AG98" s="16"/>
      <x:c r="AH98" s="16"/>
      <x:c r="AI98" s="16"/>
      <x:c r="AJ98" s="16"/>
      <x:c r="AK98" s="16"/>
      <x:c r="AL98" s="16"/>
      <x:c r="AM98" s="16"/>
      <x:c r="AN98" s="16"/>
      <x:c r="AO98" s="16"/>
      <x:c r="AP98" s="16"/>
      <x:c r="AQ98" s="16"/>
      <x:c r="AR98" s="16"/>
      <x:c r="AS98" s="16"/>
      <x:c r="AT98" s="20"/>
      <x:c r="AU98" s="16"/>
      <x:c r="AV98" s="16"/>
      <x:c r="AW98" s="16" t="str">
        <x:v>pending</x:v>
      </x:c>
      <x:c r="AX98" s="17" t="str">
        <x:v>blocked_not_validated</x:v>
      </x:c>
      <x:c r="AY98" s="18" t="str">
        <x:f>IF(OR(C98="yes",X98="corrected",COUNTIF(Z98:AL98,"major")&gt;0,COUNTIF(Z98:AL98,"blocker")&gt;0,OR(AO98="repair",AO98="segment",AO98="replace",AO98="block")),"yes","no")</x:f>
        <x:v>no</x:v>
      </x:c>
      <x:c r="AZ98" s="18" t="str">
        <x:f>IF(AND(V98="reviewed",W98&gt;=1,X98&lt;&gt;"",Y98&lt;&gt;"",COUNTA(Z98:AL98)=13,AM98&lt;&gt;"",AN98&lt;&gt;"",AO98&lt;&gt;"",AP98&lt;&gt;"",AQ98&lt;&gt;"",AR98&lt;&gt;"",AS98="I_listened_at_1x_and_completed_all_required_fields",AT98&lt;&gt;"",AW98="adjudicated",OR(AY98="no",AND(AU98&lt;&gt;"",AV98&lt;&gt;""))),"complete","incomplete")</x:f>
        <x:v>incomplete</x:v>
      </x:c>
      <x:c r="BA98" s="18" t="str">
        <x:f>IF(AZ98="complete","none","faltan campos humanos, adjudicación o segunda revisión")</x:f>
        <x:v>faltan campos humanos, adjudicación o segunda revisión</x:v>
      </x:c>
    </x:row>
    <x:row r="99" ht="36" customHeight="1">
      <x:c r="A99" s="15" t="n">
        <x:v>98</x:v>
      </x:c>
      <x:c r="B99" s="15" t="str">
        <x:v>P1-CHOOSE</x:v>
      </x:c>
      <x:c r="C99" s="15" t="str">
        <x:v>no</x:v>
      </x:c>
      <x:c r="D99" s="15" t="str">
        <x:v>asset:toefl:set-11:part-5:listen-choose-4</x:v>
      </x:c>
      <x:c r="E99" s="15" t="str">
        <x:v>set-11</x:v>
      </x:c>
      <x:c r="F99" s="15" t="str">
        <x:v>Listen and Choose a Response</x:v>
      </x:c>
      <x:c r="G99" s="15" t="str">
        <x:v>/Users/josedavidduartesilva/Developer/idiomaswl/public/audio/toefl/set-11/listen-choose-4.mp3</x:v>
      </x:c>
      <x:c r="H99" s="19" t="n">
        <x:v>3.06</x:v>
      </x:c>
      <x:c r="I99" s="15" t="str">
        <x:v>P1</x:v>
      </x:c>
      <x:c r="J99" s="15" t="str">
        <x:v>100_percent_required_T08</x:v>
      </x:c>
      <x:c r="K99" s="15" t="str">
        <x:v>pass_automated_T06</x:v>
      </x:c>
      <x:c r="L99" s="15" t="str">
        <x:v>none</x:v>
      </x:c>
      <x:c r="M99" s="15" t="str">
        <x:v>none</x:v>
      </x:c>
      <x:c r="N99" s="15" t="str">
        <x:v>conserve_source_technical_candidate</x:v>
      </x:c>
      <x:c r="O99" s="15" t="str">
        <x:v>asr_candidate_recovered_pending_human</x:v>
      </x:c>
      <x:c r="P99" s="15" t="str">
        <x:v>LING-SOURCE-001;LING-STRESS-001</x:v>
      </x:c>
      <x:c r="Q99" s="15" t="str"/>
      <x:c r="R99" s="15" t="str">
        <x:v>Do you mind if I keep this book a little longer?</x:v>
      </x:c>
      <x:c r="S99" s="15" t="str">
        <x:v>no_source_candidate</x:v>
      </x:c>
      <x:c r="T99" s="15" t="str">
        <x:v>manual_exchange_review_pass_pending_T08</x:v>
      </x:c>
      <x:c r="U99" s="15" t="str">
        <x:v>B_transcript_adjudication_candidate</x:v>
      </x:c>
      <x:c r="V99" s="16" t="str">
        <x:v>not_started</x:v>
      </x:c>
      <x:c r="W99" s="16"/>
      <x:c r="X99" s="16"/>
      <x:c r="Y99" s="16"/>
      <x:c r="Z99" s="16"/>
      <x:c r="AA99" s="16"/>
      <x:c r="AB99" s="16"/>
      <x:c r="AC99" s="16"/>
      <x:c r="AD99" s="16"/>
      <x:c r="AE99" s="16"/>
      <x:c r="AF99" s="16"/>
      <x:c r="AG99" s="16"/>
      <x:c r="AH99" s="16"/>
      <x:c r="AI99" s="16"/>
      <x:c r="AJ99" s="16"/>
      <x:c r="AK99" s="16"/>
      <x:c r="AL99" s="16"/>
      <x:c r="AM99" s="16"/>
      <x:c r="AN99" s="16"/>
      <x:c r="AO99" s="16"/>
      <x:c r="AP99" s="16"/>
      <x:c r="AQ99" s="16"/>
      <x:c r="AR99" s="16"/>
      <x:c r="AS99" s="16"/>
      <x:c r="AT99" s="20"/>
      <x:c r="AU99" s="16"/>
      <x:c r="AV99" s="16"/>
      <x:c r="AW99" s="16" t="str">
        <x:v>pending</x:v>
      </x:c>
      <x:c r="AX99" s="17" t="str">
        <x:v>blocked_not_validated</x:v>
      </x:c>
      <x:c r="AY99" s="18" t="str">
        <x:f>IF(OR(C99="yes",X99="corrected",COUNTIF(Z99:AL99,"major")&gt;0,COUNTIF(Z99:AL99,"blocker")&gt;0,OR(AO99="repair",AO99="segment",AO99="replace",AO99="block")),"yes","no")</x:f>
        <x:v>no</x:v>
      </x:c>
      <x:c r="AZ99" s="18" t="str">
        <x:f>IF(AND(V99="reviewed",W99&gt;=1,X99&lt;&gt;"",Y99&lt;&gt;"",COUNTA(Z99:AL99)=13,AM99&lt;&gt;"",AN99&lt;&gt;"",AO99&lt;&gt;"",AP99&lt;&gt;"",AQ99&lt;&gt;"",AR99&lt;&gt;"",AS99="I_listened_at_1x_and_completed_all_required_fields",AT99&lt;&gt;"",AW99="adjudicated",OR(AY99="no",AND(AU99&lt;&gt;"",AV99&lt;&gt;""))),"complete","incomplete")</x:f>
        <x:v>incomplete</x:v>
      </x:c>
      <x:c r="BA99" s="18" t="str">
        <x:f>IF(AZ99="complete","none","faltan campos humanos, adjudicación o segunda revisión")</x:f>
        <x:v>faltan campos humanos, adjudicación o segunda revisión</x:v>
      </x:c>
    </x:row>
    <x:row r="100" ht="36" customHeight="1">
      <x:c r="A100" s="15" t="n">
        <x:v>99</x:v>
      </x:c>
      <x:c r="B100" s="15" t="str">
        <x:v>P1-CHOOSE</x:v>
      </x:c>
      <x:c r="C100" s="15" t="str">
        <x:v>no</x:v>
      </x:c>
      <x:c r="D100" s="15" t="str">
        <x:v>asset:toefl:set-11:part-5:listen-choose-5</x:v>
      </x:c>
      <x:c r="E100" s="15" t="str">
        <x:v>set-11</x:v>
      </x:c>
      <x:c r="F100" s="15" t="str">
        <x:v>Listen and Choose a Response</x:v>
      </x:c>
      <x:c r="G100" s="15" t="str">
        <x:v>/Users/josedavidduartesilva/Developer/idiomaswl/public/audio/toefl/set-11/listen-choose-5.mp3</x:v>
      </x:c>
      <x:c r="H100" s="19" t="n">
        <x:v>2.18</x:v>
      </x:c>
      <x:c r="I100" s="15" t="str">
        <x:v>P1</x:v>
      </x:c>
      <x:c r="J100" s="15" t="str">
        <x:v>100_percent_required_T08</x:v>
      </x:c>
      <x:c r="K100" s="15" t="str">
        <x:v>pass_automated_T06</x:v>
      </x:c>
      <x:c r="L100" s="15" t="str">
        <x:v>none</x:v>
      </x:c>
      <x:c r="M100" s="15" t="str">
        <x:v>none</x:v>
      </x:c>
      <x:c r="N100" s="15" t="str">
        <x:v>conserve_source_technical_candidate</x:v>
      </x:c>
      <x:c r="O100" s="15" t="str">
        <x:v>asr_candidate_recovered_pending_human</x:v>
      </x:c>
      <x:c r="P100" s="15" t="str">
        <x:v>LING-SOURCE-001;LING-STRESS-001;LING-EXCHANGE-001</x:v>
      </x:c>
      <x:c r="Q100" s="15" t="str"/>
      <x:c r="R100" s="15" t="str">
        <x:v>How did your presentation go today?</x:v>
      </x:c>
      <x:c r="S100" s="15" t="str">
        <x:v>no_source_candidate</x:v>
      </x:c>
      <x:c r="T100" s="15" t="str">
        <x:v>semantically_keyed_but_unnatural_response_pending_repair</x:v>
      </x:c>
      <x:c r="U100" s="15" t="str">
        <x:v>B_transcript_adjudication_candidate</x:v>
      </x:c>
      <x:c r="V100" s="16" t="str">
        <x:v>not_started</x:v>
      </x:c>
      <x:c r="W100" s="16"/>
      <x:c r="X100" s="16"/>
      <x:c r="Y100" s="16"/>
      <x:c r="Z100" s="16"/>
      <x:c r="AA100" s="16"/>
      <x:c r="AB100" s="16"/>
      <x:c r="AC100" s="16"/>
      <x:c r="AD100" s="16"/>
      <x:c r="AE100" s="16"/>
      <x:c r="AF100" s="16"/>
      <x:c r="AG100" s="16"/>
      <x:c r="AH100" s="16"/>
      <x:c r="AI100" s="16"/>
      <x:c r="AJ100" s="16"/>
      <x:c r="AK100" s="16"/>
      <x:c r="AL100" s="16"/>
      <x:c r="AM100" s="16"/>
      <x:c r="AN100" s="16"/>
      <x:c r="AO100" s="16"/>
      <x:c r="AP100" s="16"/>
      <x:c r="AQ100" s="16"/>
      <x:c r="AR100" s="16"/>
      <x:c r="AS100" s="16"/>
      <x:c r="AT100" s="20"/>
      <x:c r="AU100" s="16"/>
      <x:c r="AV100" s="16"/>
      <x:c r="AW100" s="16" t="str">
        <x:v>pending</x:v>
      </x:c>
      <x:c r="AX100" s="17" t="str">
        <x:v>blocked_not_validated</x:v>
      </x:c>
      <x:c r="AY100" s="18" t="str">
        <x:f>IF(OR(C100="yes",X100="corrected",COUNTIF(Z100:AL100,"major")&gt;0,COUNTIF(Z100:AL100,"blocker")&gt;0,OR(AO100="repair",AO100="segment",AO100="replace",AO100="block")),"yes","no")</x:f>
        <x:v>no</x:v>
      </x:c>
      <x:c r="AZ100" s="18" t="str">
        <x:f>IF(AND(V100="reviewed",W100&gt;=1,X100&lt;&gt;"",Y100&lt;&gt;"",COUNTA(Z100:AL100)=13,AM100&lt;&gt;"",AN100&lt;&gt;"",AO100&lt;&gt;"",AP100&lt;&gt;"",AQ100&lt;&gt;"",AR100&lt;&gt;"",AS100="I_listened_at_1x_and_completed_all_required_fields",AT100&lt;&gt;"",AW100="adjudicated",OR(AY100="no",AND(AU100&lt;&gt;"",AV100&lt;&gt;""))),"complete","incomplete")</x:f>
        <x:v>incomplete</x:v>
      </x:c>
      <x:c r="BA100" s="18" t="str">
        <x:f>IF(AZ100="complete","none","faltan campos humanos, adjudicación o segunda revisión")</x:f>
        <x:v>faltan campos humanos, adjudicación o segunda revisión</x:v>
      </x:c>
    </x:row>
    <x:row r="101" ht="36" customHeight="1">
      <x:c r="A101" s="15" t="n">
        <x:v>100</x:v>
      </x:c>
      <x:c r="B101" s="15" t="str">
        <x:v>P1-LONG</x:v>
      </x:c>
      <x:c r="C101" s="15" t="str">
        <x:v>no</x:v>
      </x:c>
      <x:c r="D101" s="15" t="str">
        <x:v>asset:toefl:set-11:part-7:announcement</x:v>
      </x:c>
      <x:c r="E101" s="15" t="str">
        <x:v>set-11</x:v>
      </x:c>
      <x:c r="F101" s="15" t="str">
        <x:v>Listen to an Announcement</x:v>
      </x:c>
      <x:c r="G101" s="15" t="str">
        <x:v>/Users/josedavidduartesilva/Developer/idiomaswl/public/audio/toefl/set-11/announcement.mp3</x:v>
      </x:c>
      <x:c r="H101" s="19" t="n">
        <x:v>55.78</x:v>
      </x:c>
      <x:c r="I101" s="15" t="str">
        <x:v>P1</x:v>
      </x:c>
      <x:c r="J101" s="15" t="str">
        <x:v>100_percent_required_T08_T15</x:v>
      </x:c>
      <x:c r="K101" s="15" t="str">
        <x:v>pass_with_actionable_warning</x:v>
      </x:c>
      <x:c r="L101" s="15" t="str">
        <x:v>none</x:v>
      </x:c>
      <x:c r="M101" s="15" t="str">
        <x:v>TECH-PEAK-003</x:v>
      </x:c>
      <x:c r="N101" s="15" t="str">
        <x:v>review_warning_in_T08_before_conserve</x:v>
      </x:c>
      <x:c r="O101" s="15" t="str">
        <x:v>source_exact_normalized_supported_pending_human</x:v>
      </x:c>
      <x:c r="P101" s="15" t="str">
        <x:v>LING-LEN-001</x:v>
      </x:c>
      <x:c r="Q101" s="15" t="str">
        <x:v>Good afternoon, students. This is a reminder from the Registrar's Office about course registration for the spring semester. Registration opens next Monday at eight a.m. and will be done entirely online through the student portal.
A few important points. First, check your registration time — it's based on the number of credits you've completed, and students with more credits register earlier. You can find your assigned time slot on your portal dashboard. Second, before you can register, you must clear any holds on your account, such as unpaid library fines or an incomplete health form. Holds will prevent you from registering, so resolve them this week. Finally, popular courses fill quickly, so we strongly recommend logging in right at your assigned time and having a backup plan in case a class is full. If you have questions, our staff are available at the Registrar's Office all week. Thank you.</x:v>
      </x:c>
      <x:c r="R101" s="15" t="str">
        <x:v>Good afternoon, students. This is a reminder from the registrar's office about course registration for the spring semester. Registration opens next Monday at 8 a.m. and will be done entirely online through the student portal. A few important points. First, check your registration time. It's based on the number of credits you've completed and students with more credits register earlier. You can find your assigned time slot on your portal dashboard. Second, before you can register, You must clear any holds on your account, such as unpaid library fines or an incomplete health form. Holds will prevent you from registering, so resolve them this week. Finally, popular courses fill quickly, so we strongly recommend logging in right at your assigned time and having a backup plan in case a class is full. If you have questions, our staff are available at the registrar's office all week. Thank you.</x:v>
      </x:c>
      <x:c r="S101" s="15" t="str">
        <x:v>none</x:v>
      </x:c>
      <x:c r="T101" s="15" t="str">
        <x:v>source_contract_preserved_subject_to_T08</x:v>
      </x:c>
      <x:c r="U101" s="15" t="str">
        <x:v>C_linguistic_segment_or_reframe_candidate</x:v>
      </x:c>
      <x:c r="V101" s="16" t="str">
        <x:v>not_started</x:v>
      </x:c>
      <x:c r="W101" s="16"/>
      <x:c r="X101" s="16"/>
      <x:c r="Y101" s="16"/>
      <x:c r="Z101" s="16"/>
      <x:c r="AA101" s="16"/>
      <x:c r="AB101" s="16"/>
      <x:c r="AC101" s="16"/>
      <x:c r="AD101" s="16"/>
      <x:c r="AE101" s="16"/>
      <x:c r="AF101" s="16"/>
      <x:c r="AG101" s="16"/>
      <x:c r="AH101" s="16"/>
      <x:c r="AI101" s="16"/>
      <x:c r="AJ101" s="16"/>
      <x:c r="AK101" s="16"/>
      <x:c r="AL101" s="16"/>
      <x:c r="AM101" s="16"/>
      <x:c r="AN101" s="16"/>
      <x:c r="AO101" s="16"/>
      <x:c r="AP101" s="16"/>
      <x:c r="AQ101" s="16"/>
      <x:c r="AR101" s="16"/>
      <x:c r="AS101" s="16"/>
      <x:c r="AT101" s="20"/>
      <x:c r="AU101" s="16"/>
      <x:c r="AV101" s="16"/>
      <x:c r="AW101" s="16" t="str">
        <x:v>pending</x:v>
      </x:c>
      <x:c r="AX101" s="17" t="str">
        <x:v>blocked_not_validated</x:v>
      </x:c>
      <x:c r="AY101" s="18" t="str">
        <x:f>IF(OR(C101="yes",X101="corrected",COUNTIF(Z101:AL101,"major")&gt;0,COUNTIF(Z101:AL101,"blocker")&gt;0,OR(AO101="repair",AO101="segment",AO101="replace",AO101="block")),"yes","no")</x:f>
        <x:v>no</x:v>
      </x:c>
      <x:c r="AZ101" s="18" t="str">
        <x:f>IF(AND(V101="reviewed",W101&gt;=1,X101&lt;&gt;"",Y101&lt;&gt;"",COUNTA(Z101:AL101)=13,AM101&lt;&gt;"",AN101&lt;&gt;"",AO101&lt;&gt;"",AP101&lt;&gt;"",AQ101&lt;&gt;"",AR101&lt;&gt;"",AS101="I_listened_at_1x_and_completed_all_required_fields",AT101&lt;&gt;"",AW101="adjudicated",OR(AY101="no",AND(AU101&lt;&gt;"",AV101&lt;&gt;""))),"complete","incomplete")</x:f>
        <x:v>incomplete</x:v>
      </x:c>
      <x:c r="BA101" s="18" t="str">
        <x:f>IF(AZ101="complete","none","faltan campos humanos, adjudicación o segunda revisión")</x:f>
        <x:v>faltan campos humanos, adjudicación o segunda revisión</x:v>
      </x:c>
    </x:row>
    <x:row r="102" ht="36" customHeight="1">
      <x:c r="A102" s="15" t="n">
        <x:v>101</x:v>
      </x:c>
      <x:c r="B102" s="15" t="str">
        <x:v>P1-LONG</x:v>
      </x:c>
      <x:c r="C102" s="15" t="str">
        <x:v>no</x:v>
      </x:c>
      <x:c r="D102" s="15" t="str">
        <x:v>asset:toefl:set-11:part-8:academic-talk</x:v>
      </x:c>
      <x:c r="E102" s="15" t="str">
        <x:v>set-11</x:v>
      </x:c>
      <x:c r="F102" s="15" t="str">
        <x:v>Listen to an Academic Talk</x:v>
      </x:c>
      <x:c r="G102" s="15" t="str">
        <x:v>/Users/josedavidduartesilva/Developer/idiomaswl/public/audio/toefl/set-11/academic-talk.mp3</x:v>
      </x:c>
      <x:c r="H102" s="19" t="n">
        <x:v>129.7</x:v>
      </x:c>
      <x:c r="I102" s="15" t="str">
        <x:v>P1</x:v>
      </x:c>
      <x:c r="J102" s="15" t="str">
        <x:v>100_percent_required_T08_T15</x:v>
      </x:c>
      <x:c r="K102" s="15" t="str">
        <x:v>pass_with_actionable_warning</x:v>
      </x:c>
      <x:c r="L102" s="15" t="str">
        <x:v>none</x:v>
      </x:c>
      <x:c r="M102" s="15" t="str">
        <x:v>TECH-LDN-003;TECH-PEAK-003</x:v>
      </x:c>
      <x:c r="N102" s="15" t="str">
        <x:v>review_warning_in_T08_before_conserve</x:v>
      </x:c>
      <x:c r="O102" s="15" t="str">
        <x:v>source_material_diff_pending_human</x:v>
      </x:c>
      <x:c r="P102" s="15" t="str">
        <x:v>LING-DIFF-001;LING-LEN-002</x:v>
      </x:c>
      <x:c r="Q102" s="15" t="str">
        <x:v>PROFESSOR: I want to talk about a bird that has fascinated scientists for over a century: the Arctic tern. What makes it remarkable is its migration. Every year, the Arctic tern travels from its breeding grounds in the Arctic all the way to the Antarctic and back. That's a round trip of roughly seventy thousand kilometers. Over a lifetime, which can be thirty years, a single tern may fly a distance equal to going to the moon and back several times.
Now, why would a small bird undertake such an exhausting journey? The answer is elegant: by traveling between the two poles, the Arctic tern experiences two summers each year. It's always heading toward a region where days are long and food is abundant. So even though the journey is enormous, the payoff is nearly continuous access to rich feeding grounds and long daylight hours for catching fish.
The obvious question is: how does it navigate? A bird crossing entire oceans with no landmarks needs a reliable sense of direction. Research suggests terns use a combination of cues. They can sense the position of the sun and stars, and remarkably, they appear to detect the Earth's magnetic field, using it like a built-in compass. Some studies suggest young birds inherit a rough migratory program and then refine it through experience over successive journeys.
What I find most striking is the efficiency. The tern doesn't fly in a straight line — that would mean battling headwinds. Instead, satellite tracking has shown that terns follow a winding route that takes advantage of prevailing wind patterns, adding distance but saving energy overall. It's a beautiful example of how evolution can produce behavior that looks almost like careful planning, even though no individual bird is consciously calculating anything.</x:v>
      </x:c>
      <x:c r="R102" s="15" t="str">
        <x:v>I want to talk about a bird that has fascinated scientists for over a century. The Arctic Turn What makes it remarkable is its migration. Every year, the Arctic Turn travels from its breeding grounds in the Arctic, all the way to the Antarctic and back. That's a round trip of roughly 70,000 kilometers. Over a lifetime, which can be 30 years, a single turn may fly a distance equal to going to the moon and back several times. Now, why would a small bird undertake such an exhausting journey? The answer is elegant. By traveling between the two poles, the Arctic turn experiences two summers each year. It's always heading toward a region where days are long and food is abundant. So even though the journey is enormous, the payoff is nearly continuous access to rich feeding grounds and long daylight hours for catching fish. The obvious question is, how does it navigate? A bird crossing entire oceans with no landmarks needs a reliable sense of direction. Research suggests turns use a combination of cues. They can sense the position of the sun and stars, and remarkably, they appear to detect the Earth's magnetic field, using it like a built-in compass. Some studies suggest young birds inherit a rough migratory program and then refine it through experience over successive journeys. What I find most striking is the efficiency. The turn doesn't fly in a straight line. That would mean battling headwinds. Instead, satellite tracking has shown that turns follow a winding route that takes advantage of prevailing wind patterns, adding distance but saving energy overall. It's a beautiful example of how evolution can produce behavior that looks almost like careful planning, even though no individual bird is consciously calculating anything.</x:v>
      </x:c>
      <x:c r="S102" s="15" t="str">
        <x:v>S:tern→turn | S:tern→turn | S:tern→turn | S:tern→turn | S:terns→turns | S:tern→turn | S:terns→turns</x:v>
      </x:c>
      <x:c r="T102" s="15" t="str">
        <x:v>source_contract_preserved_subject_to_T08</x:v>
      </x:c>
      <x:c r="U102" s="15" t="str">
        <x:v>C_linguistic_segment_or_reframe_candidate</x:v>
      </x:c>
      <x:c r="V102" s="16" t="str">
        <x:v>not_started</x:v>
      </x:c>
      <x:c r="W102" s="16"/>
      <x:c r="X102" s="16"/>
      <x:c r="Y102" s="16"/>
      <x:c r="Z102" s="16"/>
      <x:c r="AA102" s="16"/>
      <x:c r="AB102" s="16"/>
      <x:c r="AC102" s="16"/>
      <x:c r="AD102" s="16"/>
      <x:c r="AE102" s="16"/>
      <x:c r="AF102" s="16"/>
      <x:c r="AG102" s="16"/>
      <x:c r="AH102" s="16"/>
      <x:c r="AI102" s="16"/>
      <x:c r="AJ102" s="16"/>
      <x:c r="AK102" s="16"/>
      <x:c r="AL102" s="16"/>
      <x:c r="AM102" s="16"/>
      <x:c r="AN102" s="16"/>
      <x:c r="AO102" s="16"/>
      <x:c r="AP102" s="16"/>
      <x:c r="AQ102" s="16"/>
      <x:c r="AR102" s="16"/>
      <x:c r="AS102" s="16"/>
      <x:c r="AT102" s="20"/>
      <x:c r="AU102" s="16"/>
      <x:c r="AV102" s="16"/>
      <x:c r="AW102" s="16" t="str">
        <x:v>pending</x:v>
      </x:c>
      <x:c r="AX102" s="17" t="str">
        <x:v>blocked_not_validated</x:v>
      </x:c>
      <x:c r="AY102" s="18" t="str">
        <x:f>IF(OR(C102="yes",X102="corrected",COUNTIF(Z102:AL102,"major")&gt;0,COUNTIF(Z102:AL102,"blocker")&gt;0,OR(AO102="repair",AO102="segment",AO102="replace",AO102="block")),"yes","no")</x:f>
        <x:v>no</x:v>
      </x:c>
      <x:c r="AZ102" s="18" t="str">
        <x:f>IF(AND(V102="reviewed",W102&gt;=1,X102&lt;&gt;"",Y102&lt;&gt;"",COUNTA(Z102:AL102)=13,AM102&lt;&gt;"",AN102&lt;&gt;"",AO102&lt;&gt;"",AP102&lt;&gt;"",AQ102&lt;&gt;"",AR102&lt;&gt;"",AS102="I_listened_at_1x_and_completed_all_required_fields",AT102&lt;&gt;"",AW102="adjudicated",OR(AY102="no",AND(AU102&lt;&gt;"",AV102&lt;&gt;""))),"complete","incomplete")</x:f>
        <x:v>incomplete</x:v>
      </x:c>
      <x:c r="BA102" s="18" t="str">
        <x:f>IF(AZ102="complete","none","faltan campos humanos, adjudicación o segunda revisión")</x:f>
        <x:v>faltan campos humanos, adjudicación o segunda revisión</x:v>
      </x:c>
    </x:row>
    <x:row r="103" ht="36" customHeight="1">
      <x:c r="A103" s="15" t="n">
        <x:v>102</x:v>
      </x:c>
      <x:c r="B103" s="15" t="str">
        <x:v>P1-CHOOSE</x:v>
      </x:c>
      <x:c r="C103" s="15" t="str">
        <x:v>no</x:v>
      </x:c>
      <x:c r="D103" s="15" t="str">
        <x:v>asset:toefl:set-12:part-5:listen-choose-1</x:v>
      </x:c>
      <x:c r="E103" s="15" t="str">
        <x:v>set-12</x:v>
      </x:c>
      <x:c r="F103" s="15" t="str">
        <x:v>Listen and Choose a Response</x:v>
      </x:c>
      <x:c r="G103" s="15" t="str">
        <x:v>/Users/josedavidduartesilva/Developer/idiomaswl/public/audio/toefl/set-12/listen-choose-1.mp3</x:v>
      </x:c>
      <x:c r="H103" s="19" t="n">
        <x:v>3.3</x:v>
      </x:c>
      <x:c r="I103" s="15" t="str">
        <x:v>P1</x:v>
      </x:c>
      <x:c r="J103" s="15" t="str">
        <x:v>100_percent_required_T08</x:v>
      </x:c>
      <x:c r="K103" s="15" t="str">
        <x:v>pass_automated_T06</x:v>
      </x:c>
      <x:c r="L103" s="15" t="str">
        <x:v>none</x:v>
      </x:c>
      <x:c r="M103" s="15" t="str">
        <x:v>none</x:v>
      </x:c>
      <x:c r="N103" s="15" t="str">
        <x:v>conserve_source_technical_candidate</x:v>
      </x:c>
      <x:c r="O103" s="15" t="str">
        <x:v>asr_candidate_recovered_pending_human</x:v>
      </x:c>
      <x:c r="P103" s="15" t="str">
        <x:v>LING-SOURCE-001;LING-STRESS-001;LING-DUP-001</x:v>
      </x:c>
      <x:c r="Q103" s="15" t="str"/>
      <x:c r="R103" s="15" t="str">
        <x:v>Excuse me, could you tell me where the manager's office is?</x:v>
      </x:c>
      <x:c r="S103" s="15" t="str">
        <x:v>no_source_candidate</x:v>
      </x:c>
      <x:c r="T103" s="15" t="str">
        <x:v>manual_exchange_review_pass_pending_T08</x:v>
      </x:c>
      <x:c r="U103" s="15" t="str">
        <x:v>B_transcript_adjudication_candidate</x:v>
      </x:c>
      <x:c r="V103" s="16" t="str">
        <x:v>not_started</x:v>
      </x:c>
      <x:c r="W103" s="16"/>
      <x:c r="X103" s="16"/>
      <x:c r="Y103" s="16"/>
      <x:c r="Z103" s="16"/>
      <x:c r="AA103" s="16"/>
      <x:c r="AB103" s="16"/>
      <x:c r="AC103" s="16"/>
      <x:c r="AD103" s="16"/>
      <x:c r="AE103" s="16"/>
      <x:c r="AF103" s="16"/>
      <x:c r="AG103" s="16"/>
      <x:c r="AH103" s="16"/>
      <x:c r="AI103" s="16"/>
      <x:c r="AJ103" s="16"/>
      <x:c r="AK103" s="16"/>
      <x:c r="AL103" s="16"/>
      <x:c r="AM103" s="16"/>
      <x:c r="AN103" s="16"/>
      <x:c r="AO103" s="16"/>
      <x:c r="AP103" s="16"/>
      <x:c r="AQ103" s="16"/>
      <x:c r="AR103" s="16"/>
      <x:c r="AS103" s="16"/>
      <x:c r="AT103" s="20"/>
      <x:c r="AU103" s="16"/>
      <x:c r="AV103" s="16"/>
      <x:c r="AW103" s="16" t="str">
        <x:v>pending</x:v>
      </x:c>
      <x:c r="AX103" s="17" t="str">
        <x:v>blocked_not_validated</x:v>
      </x:c>
      <x:c r="AY103" s="18" t="str">
        <x:f>IF(OR(C103="yes",X103="corrected",COUNTIF(Z103:AL103,"major")&gt;0,COUNTIF(Z103:AL103,"blocker")&gt;0,OR(AO103="repair",AO103="segment",AO103="replace",AO103="block")),"yes","no")</x:f>
        <x:v>no</x:v>
      </x:c>
      <x:c r="AZ103" s="18" t="str">
        <x:f>IF(AND(V103="reviewed",W103&gt;=1,X103&lt;&gt;"",Y103&lt;&gt;"",COUNTA(Z103:AL103)=13,AM103&lt;&gt;"",AN103&lt;&gt;"",AO103&lt;&gt;"",AP103&lt;&gt;"",AQ103&lt;&gt;"",AR103&lt;&gt;"",AS103="I_listened_at_1x_and_completed_all_required_fields",AT103&lt;&gt;"",AW103="adjudicated",OR(AY103="no",AND(AU103&lt;&gt;"",AV103&lt;&gt;""))),"complete","incomplete")</x:f>
        <x:v>incomplete</x:v>
      </x:c>
      <x:c r="BA103" s="18" t="str">
        <x:f>IF(AZ103="complete","none","faltan campos humanos, adjudicación o segunda revisión")</x:f>
        <x:v>faltan campos humanos, adjudicación o segunda revisión</x:v>
      </x:c>
    </x:row>
    <x:row r="104" ht="36" customHeight="1">
      <x:c r="A104" s="15" t="n">
        <x:v>103</x:v>
      </x:c>
      <x:c r="B104" s="15" t="str">
        <x:v>P1-CHOOSE</x:v>
      </x:c>
      <x:c r="C104" s="15" t="str">
        <x:v>no</x:v>
      </x:c>
      <x:c r="D104" s="15" t="str">
        <x:v>asset:toefl:set-12:part-5:listen-choose-2</x:v>
      </x:c>
      <x:c r="E104" s="15" t="str">
        <x:v>set-12</x:v>
      </x:c>
      <x:c r="F104" s="15" t="str">
        <x:v>Listen and Choose a Response</x:v>
      </x:c>
      <x:c r="G104" s="15" t="str">
        <x:v>/Users/josedavidduartesilva/Developer/idiomaswl/public/audio/toefl/set-12/listen-choose-2.mp3</x:v>
      </x:c>
      <x:c r="H104" s="19" t="n">
        <x:v>3.54</x:v>
      </x:c>
      <x:c r="I104" s="15" t="str">
        <x:v>P1</x:v>
      </x:c>
      <x:c r="J104" s="15" t="str">
        <x:v>100_percent_required_T08</x:v>
      </x:c>
      <x:c r="K104" s="15" t="str">
        <x:v>fail_actionable</x:v>
      </x:c>
      <x:c r="L104" s="15" t="str">
        <x:v>TECH-SIL-002</x:v>
      </x:c>
      <x:c r="M104" s="15" t="str">
        <x:v>none</x:v>
      </x:c>
      <x:c r="N104" s="15" t="str">
        <x:v>review_edges_create_versioned_trim_variant</x:v>
      </x:c>
      <x:c r="O104" s="15" t="str">
        <x:v>asr_candidate_recovered_pending_human</x:v>
      </x:c>
      <x:c r="P104" s="15" t="str">
        <x:v>LING-SOURCE-001;TECH-T06-FAIL;LING-STRESS-001;LING-DUP-001</x:v>
      </x:c>
      <x:c r="Q104" s="15" t="str"/>
      <x:c r="R104" s="15" t="str">
        <x:v>Would you mind giving me a ride to the station tomorrow morning?</x:v>
      </x:c>
      <x:c r="S104" s="15" t="str">
        <x:v>no_source_candidate</x:v>
      </x:c>
      <x:c r="T104" s="15" t="str">
        <x:v>manual_exchange_review_pass_pending_T08</x:v>
      </x:c>
      <x:c r="U104" s="15" t="str">
        <x:v>B_transcript_adjudication_candidate</x:v>
      </x:c>
      <x:c r="V104" s="16" t="str">
        <x:v>not_started</x:v>
      </x:c>
      <x:c r="W104" s="16"/>
      <x:c r="X104" s="16"/>
      <x:c r="Y104" s="16"/>
      <x:c r="Z104" s="16"/>
      <x:c r="AA104" s="16"/>
      <x:c r="AB104" s="16"/>
      <x:c r="AC104" s="16"/>
      <x:c r="AD104" s="16"/>
      <x:c r="AE104" s="16"/>
      <x:c r="AF104" s="16"/>
      <x:c r="AG104" s="16"/>
      <x:c r="AH104" s="16"/>
      <x:c r="AI104" s="16"/>
      <x:c r="AJ104" s="16"/>
      <x:c r="AK104" s="16"/>
      <x:c r="AL104" s="16"/>
      <x:c r="AM104" s="16"/>
      <x:c r="AN104" s="16"/>
      <x:c r="AO104" s="16"/>
      <x:c r="AP104" s="16"/>
      <x:c r="AQ104" s="16"/>
      <x:c r="AR104" s="16"/>
      <x:c r="AS104" s="16"/>
      <x:c r="AT104" s="20"/>
      <x:c r="AU104" s="16"/>
      <x:c r="AV104" s="16"/>
      <x:c r="AW104" s="16" t="str">
        <x:v>pending</x:v>
      </x:c>
      <x:c r="AX104" s="17" t="str">
        <x:v>blocked_not_validated</x:v>
      </x:c>
      <x:c r="AY104" s="18" t="str">
        <x:f>IF(OR(C104="yes",X104="corrected",COUNTIF(Z104:AL104,"major")&gt;0,COUNTIF(Z104:AL104,"blocker")&gt;0,OR(AO104="repair",AO104="segment",AO104="replace",AO104="block")),"yes","no")</x:f>
        <x:v>no</x:v>
      </x:c>
      <x:c r="AZ104" s="18" t="str">
        <x:f>IF(AND(V104="reviewed",W104&gt;=1,X104&lt;&gt;"",Y104&lt;&gt;"",COUNTA(Z104:AL104)=13,AM104&lt;&gt;"",AN104&lt;&gt;"",AO104&lt;&gt;"",AP104&lt;&gt;"",AQ104&lt;&gt;"",AR104&lt;&gt;"",AS104="I_listened_at_1x_and_completed_all_required_fields",AT104&lt;&gt;"",AW104="adjudicated",OR(AY104="no",AND(AU104&lt;&gt;"",AV104&lt;&gt;""))),"complete","incomplete")</x:f>
        <x:v>incomplete</x:v>
      </x:c>
      <x:c r="BA104" s="18" t="str">
        <x:f>IF(AZ104="complete","none","faltan campos humanos, adjudicación o segunda revisión")</x:f>
        <x:v>faltan campos humanos, adjudicación o segunda revisión</x:v>
      </x:c>
    </x:row>
    <x:row r="105" ht="36" customHeight="1">
      <x:c r="A105" s="15" t="n">
        <x:v>104</x:v>
      </x:c>
      <x:c r="B105" s="15" t="str">
        <x:v>P1-CHOOSE</x:v>
      </x:c>
      <x:c r="C105" s="15" t="str">
        <x:v>no</x:v>
      </x:c>
      <x:c r="D105" s="15" t="str">
        <x:v>asset:toefl:set-12:part-5:listen-choose-3</x:v>
      </x:c>
      <x:c r="E105" s="15" t="str">
        <x:v>set-12</x:v>
      </x:c>
      <x:c r="F105" s="15" t="str">
        <x:v>Listen and Choose a Response</x:v>
      </x:c>
      <x:c r="G105" s="15" t="str">
        <x:v>/Users/josedavidduartesilva/Developer/idiomaswl/public/audio/toefl/set-12/listen-choose-3.mp3</x:v>
      </x:c>
      <x:c r="H105" s="19" t="n">
        <x:v>2.42</x:v>
      </x:c>
      <x:c r="I105" s="15" t="str">
        <x:v>P1</x:v>
      </x:c>
      <x:c r="J105" s="15" t="str">
        <x:v>100_percent_required_T08</x:v>
      </x:c>
      <x:c r="K105" s="15" t="str">
        <x:v>pass_automated_T06</x:v>
      </x:c>
      <x:c r="L105" s="15" t="str">
        <x:v>none</x:v>
      </x:c>
      <x:c r="M105" s="15" t="str">
        <x:v>none</x:v>
      </x:c>
      <x:c r="N105" s="15" t="str">
        <x:v>conserve_source_technical_candidate</x:v>
      </x:c>
      <x:c r="O105" s="15" t="str">
        <x:v>asr_candidate_recovered_pending_human</x:v>
      </x:c>
      <x:c r="P105" s="15" t="str">
        <x:v>LING-SOURCE-001;LING-STRESS-001</x:v>
      </x:c>
      <x:c r="Q105" s="15" t="str"/>
      <x:c r="R105" s="15" t="str">
        <x:v>How do I register for the yoga class?</x:v>
      </x:c>
      <x:c r="S105" s="15" t="str">
        <x:v>no_source_candidate</x:v>
      </x:c>
      <x:c r="T105" s="15" t="str">
        <x:v>manual_exchange_review_pass_pending_T08</x:v>
      </x:c>
      <x:c r="U105" s="15" t="str">
        <x:v>B_transcript_adjudication_candidate</x:v>
      </x:c>
      <x:c r="V105" s="16" t="str">
        <x:v>not_started</x:v>
      </x:c>
      <x:c r="W105" s="16"/>
      <x:c r="X105" s="16"/>
      <x:c r="Y105" s="16"/>
      <x:c r="Z105" s="16"/>
      <x:c r="AA105" s="16"/>
      <x:c r="AB105" s="16"/>
      <x:c r="AC105" s="16"/>
      <x:c r="AD105" s="16"/>
      <x:c r="AE105" s="16"/>
      <x:c r="AF105" s="16"/>
      <x:c r="AG105" s="16"/>
      <x:c r="AH105" s="16"/>
      <x:c r="AI105" s="16"/>
      <x:c r="AJ105" s="16"/>
      <x:c r="AK105" s="16"/>
      <x:c r="AL105" s="16"/>
      <x:c r="AM105" s="16"/>
      <x:c r="AN105" s="16"/>
      <x:c r="AO105" s="16"/>
      <x:c r="AP105" s="16"/>
      <x:c r="AQ105" s="16"/>
      <x:c r="AR105" s="16"/>
      <x:c r="AS105" s="16"/>
      <x:c r="AT105" s="20"/>
      <x:c r="AU105" s="16"/>
      <x:c r="AV105" s="16"/>
      <x:c r="AW105" s="16" t="str">
        <x:v>pending</x:v>
      </x:c>
      <x:c r="AX105" s="17" t="str">
        <x:v>blocked_not_validated</x:v>
      </x:c>
      <x:c r="AY105" s="18" t="str">
        <x:f>IF(OR(C105="yes",X105="corrected",COUNTIF(Z105:AL105,"major")&gt;0,COUNTIF(Z105:AL105,"blocker")&gt;0,OR(AO105="repair",AO105="segment",AO105="replace",AO105="block")),"yes","no")</x:f>
        <x:v>no</x:v>
      </x:c>
      <x:c r="AZ105" s="18" t="str">
        <x:f>IF(AND(V105="reviewed",W105&gt;=1,X105&lt;&gt;"",Y105&lt;&gt;"",COUNTA(Z105:AL105)=13,AM105&lt;&gt;"",AN105&lt;&gt;"",AO105&lt;&gt;"",AP105&lt;&gt;"",AQ105&lt;&gt;"",AR105&lt;&gt;"",AS105="I_listened_at_1x_and_completed_all_required_fields",AT105&lt;&gt;"",AW105="adjudicated",OR(AY105="no",AND(AU105&lt;&gt;"",AV105&lt;&gt;""))),"complete","incomplete")</x:f>
        <x:v>incomplete</x:v>
      </x:c>
      <x:c r="BA105" s="18" t="str">
        <x:f>IF(AZ105="complete","none","faltan campos humanos, adjudicación o segunda revisión")</x:f>
        <x:v>faltan campos humanos, adjudicación o segunda revisión</x:v>
      </x:c>
    </x:row>
    <x:row r="106" ht="36" customHeight="1">
      <x:c r="A106" s="15" t="n">
        <x:v>105</x:v>
      </x:c>
      <x:c r="B106" s="15" t="str">
        <x:v>P1-CHOOSE</x:v>
      </x:c>
      <x:c r="C106" s="15" t="str">
        <x:v>no</x:v>
      </x:c>
      <x:c r="D106" s="15" t="str">
        <x:v>asset:toefl:set-12:part-5:listen-choose-4</x:v>
      </x:c>
      <x:c r="E106" s="15" t="str">
        <x:v>set-12</x:v>
      </x:c>
      <x:c r="F106" s="15" t="str">
        <x:v>Listen and Choose a Response</x:v>
      </x:c>
      <x:c r="G106" s="15" t="str">
        <x:v>/Users/josedavidduartesilva/Developer/idiomaswl/public/audio/toefl/set-12/listen-choose-4.mp3</x:v>
      </x:c>
      <x:c r="H106" s="19" t="n">
        <x:v>6.34</x:v>
      </x:c>
      <x:c r="I106" s="15" t="str">
        <x:v>P1</x:v>
      </x:c>
      <x:c r="J106" s="15" t="str">
        <x:v>100_percent_required_T08</x:v>
      </x:c>
      <x:c r="K106" s="15" t="str">
        <x:v>pass_automated_T06</x:v>
      </x:c>
      <x:c r="L106" s="15" t="str">
        <x:v>none</x:v>
      </x:c>
      <x:c r="M106" s="15" t="str">
        <x:v>none</x:v>
      </x:c>
      <x:c r="N106" s="15" t="str">
        <x:v>conserve_source_technical_candidate</x:v>
      </x:c>
      <x:c r="O106" s="15" t="str">
        <x:v>asr_candidate_recovered_pending_human</x:v>
      </x:c>
      <x:c r="P106" s="15" t="str">
        <x:v>LING-SOURCE-001;LING-STRESS-001</x:v>
      </x:c>
      <x:c r="Q106" s="15" t="str"/>
      <x:c r="R106" s="15" t="str">
        <x:v>I'm really sorry, but I'm sick and I can't come in tonight. Is there any way someone could take my shift?</x:v>
      </x:c>
      <x:c r="S106" s="15" t="str">
        <x:v>no_source_candidate</x:v>
      </x:c>
      <x:c r="T106" s="15" t="str">
        <x:v>manual_exchange_review_pass_pending_T08</x:v>
      </x:c>
      <x:c r="U106" s="15" t="str">
        <x:v>B_transcript_adjudication_candidate</x:v>
      </x:c>
      <x:c r="V106" s="16" t="str">
        <x:v>not_started</x:v>
      </x:c>
      <x:c r="W106" s="16"/>
      <x:c r="X106" s="16"/>
      <x:c r="Y106" s="16"/>
      <x:c r="Z106" s="16"/>
      <x:c r="AA106" s="16"/>
      <x:c r="AB106" s="16"/>
      <x:c r="AC106" s="16"/>
      <x:c r="AD106" s="16"/>
      <x:c r="AE106" s="16"/>
      <x:c r="AF106" s="16"/>
      <x:c r="AG106" s="16"/>
      <x:c r="AH106" s="16"/>
      <x:c r="AI106" s="16"/>
      <x:c r="AJ106" s="16"/>
      <x:c r="AK106" s="16"/>
      <x:c r="AL106" s="16"/>
      <x:c r="AM106" s="16"/>
      <x:c r="AN106" s="16"/>
      <x:c r="AO106" s="16"/>
      <x:c r="AP106" s="16"/>
      <x:c r="AQ106" s="16"/>
      <x:c r="AR106" s="16"/>
      <x:c r="AS106" s="16"/>
      <x:c r="AT106" s="20"/>
      <x:c r="AU106" s="16"/>
      <x:c r="AV106" s="16"/>
      <x:c r="AW106" s="16" t="str">
        <x:v>pending</x:v>
      </x:c>
      <x:c r="AX106" s="17" t="str">
        <x:v>blocked_not_validated</x:v>
      </x:c>
      <x:c r="AY106" s="18" t="str">
        <x:f>IF(OR(C106="yes",X106="corrected",COUNTIF(Z106:AL106,"major")&gt;0,COUNTIF(Z106:AL106,"blocker")&gt;0,OR(AO106="repair",AO106="segment",AO106="replace",AO106="block")),"yes","no")</x:f>
        <x:v>no</x:v>
      </x:c>
      <x:c r="AZ106" s="18" t="str">
        <x:f>IF(AND(V106="reviewed",W106&gt;=1,X106&lt;&gt;"",Y106&lt;&gt;"",COUNTA(Z106:AL106)=13,AM106&lt;&gt;"",AN106&lt;&gt;"",AO106&lt;&gt;"",AP106&lt;&gt;"",AQ106&lt;&gt;"",AR106&lt;&gt;"",AS106="I_listened_at_1x_and_completed_all_required_fields",AT106&lt;&gt;"",AW106="adjudicated",OR(AY106="no",AND(AU106&lt;&gt;"",AV106&lt;&gt;""))),"complete","incomplete")</x:f>
        <x:v>incomplete</x:v>
      </x:c>
      <x:c r="BA106" s="18" t="str">
        <x:f>IF(AZ106="complete","none","faltan campos humanos, adjudicación o segunda revisión")</x:f>
        <x:v>faltan campos humanos, adjudicación o segunda revisión</x:v>
      </x:c>
    </x:row>
    <x:row r="107" ht="36" customHeight="1">
      <x:c r="A107" s="15" t="n">
        <x:v>106</x:v>
      </x:c>
      <x:c r="B107" s="15" t="str">
        <x:v>P1-CHOOSE</x:v>
      </x:c>
      <x:c r="C107" s="15" t="str">
        <x:v>no</x:v>
      </x:c>
      <x:c r="D107" s="15" t="str">
        <x:v>asset:toefl:set-12:part-5:listen-choose-5</x:v>
      </x:c>
      <x:c r="E107" s="15" t="str">
        <x:v>set-12</x:v>
      </x:c>
      <x:c r="F107" s="15" t="str">
        <x:v>Listen and Choose a Response</x:v>
      </x:c>
      <x:c r="G107" s="15" t="str">
        <x:v>/Users/josedavidduartesilva/Developer/idiomaswl/public/audio/toefl/set-12/listen-choose-5.mp3</x:v>
      </x:c>
      <x:c r="H107" s="19" t="n">
        <x:v>3.06</x:v>
      </x:c>
      <x:c r="I107" s="15" t="str">
        <x:v>P1</x:v>
      </x:c>
      <x:c r="J107" s="15" t="str">
        <x:v>100_percent_required_T08</x:v>
      </x:c>
      <x:c r="K107" s="15" t="str">
        <x:v>pass_automated_T06</x:v>
      </x:c>
      <x:c r="L107" s="15" t="str">
        <x:v>none</x:v>
      </x:c>
      <x:c r="M107" s="15" t="str">
        <x:v>none</x:v>
      </x:c>
      <x:c r="N107" s="15" t="str">
        <x:v>conserve_source_technical_candidate</x:v>
      </x:c>
      <x:c r="O107" s="15" t="str">
        <x:v>asr_candidate_recovered_pending_human</x:v>
      </x:c>
      <x:c r="P107" s="15" t="str">
        <x:v>LING-SOURCE-001;LING-STRESS-001</x:v>
      </x:c>
      <x:c r="Q107" s="15" t="str"/>
      <x:c r="R107" s="15" t="str">
        <x:v>You look really excited. Did something good happen?</x:v>
      </x:c>
      <x:c r="S107" s="15" t="str">
        <x:v>no_source_candidate</x:v>
      </x:c>
      <x:c r="T107" s="15" t="str">
        <x:v>manual_exchange_review_pass_pending_T08</x:v>
      </x:c>
      <x:c r="U107" s="15" t="str">
        <x:v>B_transcript_adjudication_candidate</x:v>
      </x:c>
      <x:c r="V107" s="16" t="str">
        <x:v>not_started</x:v>
      </x:c>
      <x:c r="W107" s="16"/>
      <x:c r="X107" s="16"/>
      <x:c r="Y107" s="16"/>
      <x:c r="Z107" s="16"/>
      <x:c r="AA107" s="16"/>
      <x:c r="AB107" s="16"/>
      <x:c r="AC107" s="16"/>
      <x:c r="AD107" s="16"/>
      <x:c r="AE107" s="16"/>
      <x:c r="AF107" s="16"/>
      <x:c r="AG107" s="16"/>
      <x:c r="AH107" s="16"/>
      <x:c r="AI107" s="16"/>
      <x:c r="AJ107" s="16"/>
      <x:c r="AK107" s="16"/>
      <x:c r="AL107" s="16"/>
      <x:c r="AM107" s="16"/>
      <x:c r="AN107" s="16"/>
      <x:c r="AO107" s="16"/>
      <x:c r="AP107" s="16"/>
      <x:c r="AQ107" s="16"/>
      <x:c r="AR107" s="16"/>
      <x:c r="AS107" s="16"/>
      <x:c r="AT107" s="20"/>
      <x:c r="AU107" s="16"/>
      <x:c r="AV107" s="16"/>
      <x:c r="AW107" s="16" t="str">
        <x:v>pending</x:v>
      </x:c>
      <x:c r="AX107" s="17" t="str">
        <x:v>blocked_not_validated</x:v>
      </x:c>
      <x:c r="AY107" s="18" t="str">
        <x:f>IF(OR(C107="yes",X107="corrected",COUNTIF(Z107:AL107,"major")&gt;0,COUNTIF(Z107:AL107,"blocker")&gt;0,OR(AO107="repair",AO107="segment",AO107="replace",AO107="block")),"yes","no")</x:f>
        <x:v>no</x:v>
      </x:c>
      <x:c r="AZ107" s="18" t="str">
        <x:f>IF(AND(V107="reviewed",W107&gt;=1,X107&lt;&gt;"",Y107&lt;&gt;"",COUNTA(Z107:AL107)=13,AM107&lt;&gt;"",AN107&lt;&gt;"",AO107&lt;&gt;"",AP107&lt;&gt;"",AQ107&lt;&gt;"",AR107&lt;&gt;"",AS107="I_listened_at_1x_and_completed_all_required_fields",AT107&lt;&gt;"",AW107="adjudicated",OR(AY107="no",AND(AU107&lt;&gt;"",AV107&lt;&gt;""))),"complete","incomplete")</x:f>
        <x:v>incomplete</x:v>
      </x:c>
      <x:c r="BA107" s="18" t="str">
        <x:f>IF(AZ107="complete","none","faltan campos humanos, adjudicación o segunda revisión")</x:f>
        <x:v>faltan campos humanos, adjudicación o segunda revisión</x:v>
      </x:c>
    </x:row>
    <x:row r="108" ht="36" customHeight="1">
      <x:c r="A108" s="15" t="n">
        <x:v>107</x:v>
      </x:c>
      <x:c r="B108" s="15" t="str">
        <x:v>P1-LONG</x:v>
      </x:c>
      <x:c r="C108" s="15" t="str">
        <x:v>no</x:v>
      </x:c>
      <x:c r="D108" s="15" t="str">
        <x:v>asset:toefl:set-12:part-6:conversation</x:v>
      </x:c>
      <x:c r="E108" s="15" t="str">
        <x:v>set-12</x:v>
      </x:c>
      <x:c r="F108" s="15" t="str">
        <x:v>Listen to a Conversation</x:v>
      </x:c>
      <x:c r="G108" s="15" t="str">
        <x:v>/Users/josedavidduartesilva/Developer/idiomaswl/public/audio/toefl/set-12/conversation.mp3</x:v>
      </x:c>
      <x:c r="H108" s="19" t="n">
        <x:v>72.68</x:v>
      </x:c>
      <x:c r="I108" s="15" t="str">
        <x:v>P1</x:v>
      </x:c>
      <x:c r="J108" s="15" t="str">
        <x:v>100_percent_required_T08_T15</x:v>
      </x:c>
      <x:c r="K108" s="15" t="str">
        <x:v>pass_automated_T06</x:v>
      </x:c>
      <x:c r="L108" s="15" t="str">
        <x:v>none</x:v>
      </x:c>
      <x:c r="M108" s="15" t="str">
        <x:v>none</x:v>
      </x:c>
      <x:c r="N108" s="15" t="str">
        <x:v>conserve_source_technical_candidate</x:v>
      </x:c>
      <x:c r="O108" s="15" t="str">
        <x:v>source_exact_normalized_supported_pending_human</x:v>
      </x:c>
      <x:c r="P108" s="15" t="str">
        <x:v>LING-LEN-001</x:v>
      </x:c>
      <x:c r="Q108" s="15" t="str">
        <x:v>STUDENT: Professor Kim, do you have a moment? I wanted to talk about my grade on the last lab report.
PROFESSOR: Of course. What's your concern?
STUDENT: Well, I put a lot of work into it, but I got a lower grade than I expected, and I'm not sure what went wrong.
PROFESSOR: Let me pull it up. Ah, yes. Your data collection and analysis were actually excellent — that part was among the best in the class.
STUDENT: Oh, thank you. So where did I lose points?
PROFESSOR: Mainly in the discussion section. You reported your results clearly, but you didn't interpret them. A good discussion explains what the results mean, why they might have turned out that way, and how they connect to the theory we covered. You essentially repeated your numbers instead of explaining them.
STUDENT: I see. I think I ran out of time and rushed that part.
PROFESSOR: That's a common mistake. My advice for next time: budget at least as much time for interpreting your results as you spend collecting them. The interpretation is where you show your understanding.
STUDENT: That's really helpful. Would it be possible to revise it for partial credit?
PROFESSOR: I don't offer revisions for credit, but I'm happy to look over a rewritten discussion section and give you feedback, so you're stronger on the next report.</x:v>
      </x:c>
      <x:c r="R108" s="15" t="str">
        <x:v>Professor Kim, do you have a moment? I wanted to talk about my grade on the last lab report. Of course, what's your concern? Well, I put a lot of work into it, but I got a lower grade than I expected, and I'm not sure what went wrong. Let me pull it up. Ah, yes, your data collection and analysis were actually excellent. That part was among the best in the class. Oh, thank you. So where did I lose points? Mainly in the discussion section. You reported your results clearly, but you didn't interpret them. A good discussion explains what the results mean, why they might have turned out that way, and how they connect to the theory we covered. You essentially repeated your numbers instead of explaining them. I see. I think I ran out of time and rushed that part. That's a common mistake. My advice for next time, budget at least as much time for interpreting your results as you spend collecting them. The interpretation is where you show your understanding. That's really helpful. Would it be possible to revise it for partial credit? I don't offer revisions for credit, but I'm happy to look over a rewritten discussion section and give you feedback so you're stronger on the next report.</x:v>
      </x:c>
      <x:c r="S108" s="15" t="str">
        <x:v>none</x:v>
      </x:c>
      <x:c r="T108" s="15" t="str">
        <x:v>source_contract_preserved_subject_to_T08</x:v>
      </x:c>
      <x:c r="U108" s="15" t="str">
        <x:v>C_linguistic_segment_or_reframe_candidate</x:v>
      </x:c>
      <x:c r="V108" s="16" t="str">
        <x:v>not_started</x:v>
      </x:c>
      <x:c r="W108" s="16"/>
      <x:c r="X108" s="16"/>
      <x:c r="Y108" s="16"/>
      <x:c r="Z108" s="16"/>
      <x:c r="AA108" s="16"/>
      <x:c r="AB108" s="16"/>
      <x:c r="AC108" s="16"/>
      <x:c r="AD108" s="16"/>
      <x:c r="AE108" s="16"/>
      <x:c r="AF108" s="16"/>
      <x:c r="AG108" s="16"/>
      <x:c r="AH108" s="16"/>
      <x:c r="AI108" s="16"/>
      <x:c r="AJ108" s="16"/>
      <x:c r="AK108" s="16"/>
      <x:c r="AL108" s="16"/>
      <x:c r="AM108" s="16"/>
      <x:c r="AN108" s="16"/>
      <x:c r="AO108" s="16"/>
      <x:c r="AP108" s="16"/>
      <x:c r="AQ108" s="16"/>
      <x:c r="AR108" s="16"/>
      <x:c r="AS108" s="16"/>
      <x:c r="AT108" s="20"/>
      <x:c r="AU108" s="16"/>
      <x:c r="AV108" s="16"/>
      <x:c r="AW108" s="16" t="str">
        <x:v>pending</x:v>
      </x:c>
      <x:c r="AX108" s="17" t="str">
        <x:v>blocked_not_validated</x:v>
      </x:c>
      <x:c r="AY108" s="18" t="str">
        <x:f>IF(OR(C108="yes",X108="corrected",COUNTIF(Z108:AL108,"major")&gt;0,COUNTIF(Z108:AL108,"blocker")&gt;0,OR(AO108="repair",AO108="segment",AO108="replace",AO108="block")),"yes","no")</x:f>
        <x:v>no</x:v>
      </x:c>
      <x:c r="AZ108" s="18" t="str">
        <x:f>IF(AND(V108="reviewed",W108&gt;=1,X108&lt;&gt;"",Y108&lt;&gt;"",COUNTA(Z108:AL108)=13,AM108&lt;&gt;"",AN108&lt;&gt;"",AO108&lt;&gt;"",AP108&lt;&gt;"",AQ108&lt;&gt;"",AR108&lt;&gt;"",AS108="I_listened_at_1x_and_completed_all_required_fields",AT108&lt;&gt;"",AW108="adjudicated",OR(AY108="no",AND(AU108&lt;&gt;"",AV108&lt;&gt;""))),"complete","incomplete")</x:f>
        <x:v>incomplete</x:v>
      </x:c>
      <x:c r="BA108" s="18" t="str">
        <x:f>IF(AZ108="complete","none","faltan campos humanos, adjudicación o segunda revisión")</x:f>
        <x:v>faltan campos humanos, adjudicación o segunda revisión</x:v>
      </x:c>
    </x:row>
    <x:row r="109" ht="36" customHeight="1">
      <x:c r="A109" s="15" t="n">
        <x:v>108</x:v>
      </x:c>
      <x:c r="B109" s="15" t="str">
        <x:v>P1-LONG</x:v>
      </x:c>
      <x:c r="C109" s="15" t="str">
        <x:v>no</x:v>
      </x:c>
      <x:c r="D109" s="15" t="str">
        <x:v>asset:toefl:set-12:part-7:announcement</x:v>
      </x:c>
      <x:c r="E109" s="15" t="str">
        <x:v>set-12</x:v>
      </x:c>
      <x:c r="F109" s="15" t="str">
        <x:v>Listen to an Announcement</x:v>
      </x:c>
      <x:c r="G109" s="15" t="str">
        <x:v>/Users/josedavidduartesilva/Developer/idiomaswl/public/audio/toefl/set-12/announcement.mp3</x:v>
      </x:c>
      <x:c r="H109" s="19" t="n">
        <x:v>48.981</x:v>
      </x:c>
      <x:c r="I109" s="15" t="str">
        <x:v>P1</x:v>
      </x:c>
      <x:c r="J109" s="15" t="str">
        <x:v>100_percent_required_T08_T15</x:v>
      </x:c>
      <x:c r="K109" s="15" t="str">
        <x:v>pass_automated_T06</x:v>
      </x:c>
      <x:c r="L109" s="15" t="str">
        <x:v>none</x:v>
      </x:c>
      <x:c r="M109" s="15" t="str">
        <x:v>none</x:v>
      </x:c>
      <x:c r="N109" s="15" t="str">
        <x:v>conserve_source_technical_candidate</x:v>
      </x:c>
      <x:c r="O109" s="15" t="str">
        <x:v>source_exact_normalized_supported_pending_human</x:v>
      </x:c>
      <x:c r="P109" s="15" t="str">
        <x:v>LING-LEN-001</x:v>
      </x:c>
      <x:c r="Q109" s="15" t="str">
        <x:v>Good morning, and welcome to the campus recreation center. This is a brief announcement about our new membership system, which takes effect on the first of next month. Instead of paper membership cards, all students will now check in using the mobile app or their student ID card at the electronic scanners by the entrance.
To use the app, download it from the recreation center's website and log in with your student account. Your membership is included in your student fees, so there is no additional charge. Please note that the old paper cards will no longer be accepted after the end of this month. If you have any trouble setting up the app, staff at the front desk will be glad to help you during opening hours. We hope the new system makes checking in faster and more convenient for everyone. Thank you, and enjoy your workout.</x:v>
      </x:c>
      <x:c r="R109" s="15" t="str">
        <x:v>Good morning and welcome to the Campus Recreation Center. This is a brief announcement about our new membership system, which takes effect on the first of next month. Instead of paper membership cards, all students will now check in using the mobile app or their student ID card at the electronic scanners by the entrance. To use the app, download it from the Recreation Center's website and log in with your student account. Your membership is included in your student fees, so there is no additional charge. Please note that the old paper cards will no longer be accepted after the end of this month. If you have any trouble setting up the app, staff at the front desk will be glad to help you during opening hours. We hope the new system makes checking in faster and more convenient for everyone. Thank you and enjoy your workout.</x:v>
      </x:c>
      <x:c r="S109" s="15" t="str">
        <x:v>none</x:v>
      </x:c>
      <x:c r="T109" s="15" t="str">
        <x:v>source_contract_preserved_subject_to_T08</x:v>
      </x:c>
      <x:c r="U109" s="15" t="str">
        <x:v>C_linguistic_segment_or_reframe_candidate</x:v>
      </x:c>
      <x:c r="V109" s="16" t="str">
        <x:v>not_started</x:v>
      </x:c>
      <x:c r="W109" s="16"/>
      <x:c r="X109" s="16"/>
      <x:c r="Y109" s="16"/>
      <x:c r="Z109" s="16"/>
      <x:c r="AA109" s="16"/>
      <x:c r="AB109" s="16"/>
      <x:c r="AC109" s="16"/>
      <x:c r="AD109" s="16"/>
      <x:c r="AE109" s="16"/>
      <x:c r="AF109" s="16"/>
      <x:c r="AG109" s="16"/>
      <x:c r="AH109" s="16"/>
      <x:c r="AI109" s="16"/>
      <x:c r="AJ109" s="16"/>
      <x:c r="AK109" s="16"/>
      <x:c r="AL109" s="16"/>
      <x:c r="AM109" s="16"/>
      <x:c r="AN109" s="16"/>
      <x:c r="AO109" s="16"/>
      <x:c r="AP109" s="16"/>
      <x:c r="AQ109" s="16"/>
      <x:c r="AR109" s="16"/>
      <x:c r="AS109" s="16"/>
      <x:c r="AT109" s="20"/>
      <x:c r="AU109" s="16"/>
      <x:c r="AV109" s="16"/>
      <x:c r="AW109" s="16" t="str">
        <x:v>pending</x:v>
      </x:c>
      <x:c r="AX109" s="17" t="str">
        <x:v>blocked_not_validated</x:v>
      </x:c>
      <x:c r="AY109" s="18" t="str">
        <x:f>IF(OR(C109="yes",X109="corrected",COUNTIF(Z109:AL109,"major")&gt;0,COUNTIF(Z109:AL109,"blocker")&gt;0,OR(AO109="repair",AO109="segment",AO109="replace",AO109="block")),"yes","no")</x:f>
        <x:v>no</x:v>
      </x:c>
      <x:c r="AZ109" s="18" t="str">
        <x:f>IF(AND(V109="reviewed",W109&gt;=1,X109&lt;&gt;"",Y109&lt;&gt;"",COUNTA(Z109:AL109)=13,AM109&lt;&gt;"",AN109&lt;&gt;"",AO109&lt;&gt;"",AP109&lt;&gt;"",AQ109&lt;&gt;"",AR109&lt;&gt;"",AS109="I_listened_at_1x_and_completed_all_required_fields",AT109&lt;&gt;"",AW109="adjudicated",OR(AY109="no",AND(AU109&lt;&gt;"",AV109&lt;&gt;""))),"complete","incomplete")</x:f>
        <x:v>incomplete</x:v>
      </x:c>
      <x:c r="BA109" s="18" t="str">
        <x:f>IF(AZ109="complete","none","faltan campos humanos, adjudicación o segunda revisión")</x:f>
        <x:v>faltan campos humanos, adjudicación o segunda revisión</x:v>
      </x:c>
    </x:row>
    <x:row r="110" ht="36" customHeight="1">
      <x:c r="A110" s="15" t="n">
        <x:v>109</x:v>
      </x:c>
      <x:c r="B110" s="15" t="str">
        <x:v>P1-LONG</x:v>
      </x:c>
      <x:c r="C110" s="15" t="str">
        <x:v>no</x:v>
      </x:c>
      <x:c r="D110" s="15" t="str">
        <x:v>asset:toefl:set-12:part-8:academic-talk</x:v>
      </x:c>
      <x:c r="E110" s="15" t="str">
        <x:v>set-12</x:v>
      </x:c>
      <x:c r="F110" s="15" t="str">
        <x:v>Listen to an Academic Talk</x:v>
      </x:c>
      <x:c r="G110" s="15" t="str">
        <x:v>/Users/josedavidduartesilva/Developer/idiomaswl/public/audio/toefl/set-12/academic-talk.mp3</x:v>
      </x:c>
      <x:c r="H110" s="19" t="n">
        <x:v>111.86</x:v>
      </x:c>
      <x:c r="I110" s="15" t="str">
        <x:v>P1</x:v>
      </x:c>
      <x:c r="J110" s="15" t="str">
        <x:v>100_percent_required_T08_T15</x:v>
      </x:c>
      <x:c r="K110" s="15" t="str">
        <x:v>pass_with_actionable_warning</x:v>
      </x:c>
      <x:c r="L110" s="15" t="str">
        <x:v>none</x:v>
      </x:c>
      <x:c r="M110" s="15" t="str">
        <x:v>TECH-LDN-003</x:v>
      </x:c>
      <x:c r="N110" s="15" t="str">
        <x:v>review_warning_in_T08_before_conserve</x:v>
      </x:c>
      <x:c r="O110" s="15" t="str">
        <x:v>source_exact_normalized_supported_pending_human</x:v>
      </x:c>
      <x:c r="P110" s="15" t="str">
        <x:v>LING-LEN-002</x:v>
      </x:c>
      <x:c r="Q110" s="15" t="str">
        <x:v>PROFESSOR: Let's talk about a psychological phenomenon that shapes your daily life more than you probably realize: the power of habit. A surprisingly large portion of what we do each day isn't the result of conscious decisions — it's automatic behavior, driven by habit. And understanding how habits work gives us real power to change them.
Psychologists describe a habit as a loop with three parts. First, there's a cue — a trigger that tells your brain to go into automatic mode. It might be a time of day, a location, an emotion, or the presence of certain people. Second, there's the routine — the behavior itself, which can be physical, mental, or emotional. And third, there's the reward — the benefit your brain gets, which teaches it that this loop is worth remembering. Over time, cue and reward become so linked that the routine happens almost automatically.
Here's the crucial insight for changing habits: you generally can't just erase a bad habit. What works better is to keep the same cue and the same reward, but change the routine in between. Say you have a habit of eating a cookie every afternoon. The cue might be boredom around three p.m., and the reward might be a short break and a change of scenery — not actually the cookie itself. If you replace the routine — say, taking a two-minute walk instead — while keeping the same cue and reward, the new behavior can take hold.
The reason this matters is that willpower alone is a weak tool for lasting change. People who rely on sheer willpower often fail, because habits are wired deep in the brain. But people who understand the loop — who identify their cues and rewards and consciously redesign the routine — are far more successful. In a sense, you don't break a habit; you replace it.</x:v>
      </x:c>
      <x:c r="R110" s="15" t="str">
        <x:v>Let's talk about a psychological phenomenon that shapes your daily life more than you probably realize. The power of habit, a surprisingly large portion of what we do each day, isn't the result of conscious decisions. It's automatic behavior, driven by habit, and understanding how habits work gives us real power to change them. Psychologists describe a habit as a loop with three parts. First, there's a cue, a trigger that tells your brain to go into automatic mode. It might be a time of day, a location, an emotion, or the presence of certain people. Second, there's the routine, the behavior itself, which can be physical, mental, or emotional. And third, there's the reward, the benefit your brain gets, which teaches it that this loop is worth remembering. Over time, cue and reward become so linked that the routine happens almost automatically. Here's the crucial insight for changing habits. You generally can't just erase a bad habit. What works better is to keep the same cue and the same reward, but change the routine in between. Say you have a habit of eating a cookie every afternoon. The cue might be boredom around 3 p.m. and the reward might be a short break and a change of scenery, not actually the cookie itself. If you replace the routine, say, taking a two-minute walk instead, while keeping the same cue and reward, the new behavior can take hold. The reason this matters is that willpower alone is a weak tool for lasting change. People who rely on sheer willpower often fail, because habits are wired deep in the brain. But people who understand the loop, who identify their cues and rewards, and consciously redesign the routine, are far more successful. In a sense, you don't break a habit, you replace it.</x:v>
      </x:c>
      <x:c r="S110" s="15" t="str">
        <x:v>none</x:v>
      </x:c>
      <x:c r="T110" s="15" t="str">
        <x:v>source_contract_preserved_subject_to_T08</x:v>
      </x:c>
      <x:c r="U110" s="15" t="str">
        <x:v>C_linguistic_segment_or_reframe_candidate</x:v>
      </x:c>
      <x:c r="V110" s="16" t="str">
        <x:v>not_started</x:v>
      </x:c>
      <x:c r="W110" s="16"/>
      <x:c r="X110" s="16"/>
      <x:c r="Y110" s="16"/>
      <x:c r="Z110" s="16"/>
      <x:c r="AA110" s="16"/>
      <x:c r="AB110" s="16"/>
      <x:c r="AC110" s="16"/>
      <x:c r="AD110" s="16"/>
      <x:c r="AE110" s="16"/>
      <x:c r="AF110" s="16"/>
      <x:c r="AG110" s="16"/>
      <x:c r="AH110" s="16"/>
      <x:c r="AI110" s="16"/>
      <x:c r="AJ110" s="16"/>
      <x:c r="AK110" s="16"/>
      <x:c r="AL110" s="16"/>
      <x:c r="AM110" s="16"/>
      <x:c r="AN110" s="16"/>
      <x:c r="AO110" s="16"/>
      <x:c r="AP110" s="16"/>
      <x:c r="AQ110" s="16"/>
      <x:c r="AR110" s="16"/>
      <x:c r="AS110" s="16"/>
      <x:c r="AT110" s="20"/>
      <x:c r="AU110" s="16"/>
      <x:c r="AV110" s="16"/>
      <x:c r="AW110" s="16" t="str">
        <x:v>pending</x:v>
      </x:c>
      <x:c r="AX110" s="17" t="str">
        <x:v>blocked_not_validated</x:v>
      </x:c>
      <x:c r="AY110" s="18" t="str">
        <x:f>IF(OR(C110="yes",X110="corrected",COUNTIF(Z110:AL110,"major")&gt;0,COUNTIF(Z110:AL110,"blocker")&gt;0,OR(AO110="repair",AO110="segment",AO110="replace",AO110="block")),"yes","no")</x:f>
        <x:v>no</x:v>
      </x:c>
      <x:c r="AZ110" s="18" t="str">
        <x:f>IF(AND(V110="reviewed",W110&gt;=1,X110&lt;&gt;"",Y110&lt;&gt;"",COUNTA(Z110:AL110)=13,AM110&lt;&gt;"",AN110&lt;&gt;"",AO110&lt;&gt;"",AP110&lt;&gt;"",AQ110&lt;&gt;"",AR110&lt;&gt;"",AS110="I_listened_at_1x_and_completed_all_required_fields",AT110&lt;&gt;"",AW110="adjudicated",OR(AY110="no",AND(AU110&lt;&gt;"",AV110&lt;&gt;""))),"complete","incomplete")</x:f>
        <x:v>incomplete</x:v>
      </x:c>
      <x:c r="BA110" s="18" t="str">
        <x:f>IF(AZ110="complete","none","faltan campos humanos, adjudicación o segunda revisión")</x:f>
        <x:v>faltan campos humanos, adjudicación o segunda revisión</x:v>
      </x:c>
    </x:row>
    <x:row r="111" ht="36" customHeight="1">
      <x:c r="A111" s="15" t="n">
        <x:v>110</x:v>
      </x:c>
      <x:c r="B111" s="15" t="str">
        <x:v>P1-REPEAT</x:v>
      </x:c>
      <x:c r="C111" s="15" t="str">
        <x:v>no</x:v>
      </x:c>
      <x:c r="D111" s="15" t="str">
        <x:v>asset:toefl:set-12:part-12:repeat-2</x:v>
      </x:c>
      <x:c r="E111" s="15" t="str">
        <x:v>set-12</x:v>
      </x:c>
      <x:c r="F111" s="15" t="str">
        <x:v>Listen and Repeat</x:v>
      </x:c>
      <x:c r="G111" s="15" t="str">
        <x:v>/Users/josedavidduartesilva/Developer/idiomaswl/public/audio/toefl/set-12/repeat-2.mp3</x:v>
      </x:c>
      <x:c r="H111" s="19" t="n">
        <x:v>3.06</x:v>
      </x:c>
      <x:c r="I111" s="15" t="str">
        <x:v>P1</x:v>
      </x:c>
      <x:c r="J111" s="15" t="str">
        <x:v>100_percent_required_T08</x:v>
      </x:c>
      <x:c r="K111" s="15" t="str">
        <x:v>fail_actionable</x:v>
      </x:c>
      <x:c r="L111" s="15" t="str">
        <x:v>TECH-SIL-002</x:v>
      </x:c>
      <x:c r="M111" s="15" t="str">
        <x:v>none</x:v>
      </x:c>
      <x:c r="N111" s="15" t="str">
        <x:v>review_edges_create_versioned_trim_variant</x:v>
      </x:c>
      <x:c r="O111" s="15" t="str">
        <x:v>source_material_diff_pending_human</x:v>
      </x:c>
      <x:c r="P111" s="15" t="str">
        <x:v>LING-DIFF-001;TECH-T06-FAIL</x:v>
      </x:c>
      <x:c r="Q111" s="15" t="str">
        <x:v>She painted the fence a bright shade of blue.</x:v>
      </x:c>
      <x:c r="R111" s="15" t="str">
        <x:v>She painted the fans a bright shade of blue.</x:v>
      </x:c>
      <x:c r="S111" s="15" t="str">
        <x:v>S:fence→fans</x:v>
      </x:c>
      <x:c r="T111" s="15" t="str">
        <x:v>source_contract_preserved_subject_to_T08</x:v>
      </x:c>
      <x:c r="U111" s="15" t="str">
        <x:v>B_linguistic_adjudication_or_repair_candidate</x:v>
      </x:c>
      <x:c r="V111" s="16" t="str">
        <x:v>not_started</x:v>
      </x:c>
      <x:c r="W111" s="16"/>
      <x:c r="X111" s="16"/>
      <x:c r="Y111" s="16"/>
      <x:c r="Z111" s="16"/>
      <x:c r="AA111" s="16"/>
      <x:c r="AB111" s="16"/>
      <x:c r="AC111" s="16"/>
      <x:c r="AD111" s="16"/>
      <x:c r="AE111" s="16"/>
      <x:c r="AF111" s="16"/>
      <x:c r="AG111" s="16"/>
      <x:c r="AH111" s="16"/>
      <x:c r="AI111" s="16"/>
      <x:c r="AJ111" s="16"/>
      <x:c r="AK111" s="16"/>
      <x:c r="AL111" s="16"/>
      <x:c r="AM111" s="16"/>
      <x:c r="AN111" s="16"/>
      <x:c r="AO111" s="16"/>
      <x:c r="AP111" s="16"/>
      <x:c r="AQ111" s="16"/>
      <x:c r="AR111" s="16"/>
      <x:c r="AS111" s="16"/>
      <x:c r="AT111" s="20"/>
      <x:c r="AU111" s="16"/>
      <x:c r="AV111" s="16"/>
      <x:c r="AW111" s="16" t="str">
        <x:v>pending</x:v>
      </x:c>
      <x:c r="AX111" s="17" t="str">
        <x:v>blocked_not_validated</x:v>
      </x:c>
      <x:c r="AY111" s="18" t="str">
        <x:f>IF(OR(C111="yes",X111="corrected",COUNTIF(Z111:AL111,"major")&gt;0,COUNTIF(Z111:AL111,"blocker")&gt;0,OR(AO111="repair",AO111="segment",AO111="replace",AO111="block")),"yes","no")</x:f>
        <x:v>no</x:v>
      </x:c>
      <x:c r="AZ111" s="18" t="str">
        <x:f>IF(AND(V111="reviewed",W111&gt;=1,X111&lt;&gt;"",Y111&lt;&gt;"",COUNTA(Z111:AL111)=13,AM111&lt;&gt;"",AN111&lt;&gt;"",AO111&lt;&gt;"",AP111&lt;&gt;"",AQ111&lt;&gt;"",AR111&lt;&gt;"",AS111="I_listened_at_1x_and_completed_all_required_fields",AT111&lt;&gt;"",AW111="adjudicated",OR(AY111="no",AND(AU111&lt;&gt;"",AV111&lt;&gt;""))),"complete","incomplete")</x:f>
        <x:v>incomplete</x:v>
      </x:c>
      <x:c r="BA111" s="18" t="str">
        <x:f>IF(AZ111="complete","none","faltan campos humanos, adjudicación o segunda revisión")</x:f>
        <x:v>faltan campos humanos, adjudicación o segunda revisión</x:v>
      </x:c>
    </x:row>
    <x:row r="112" ht="36" customHeight="1">
      <x:c r="A112" s="15" t="n">
        <x:v>111</x:v>
      </x:c>
      <x:c r="B112" s="15" t="str">
        <x:v>P1-CHOOSE</x:v>
      </x:c>
      <x:c r="C112" s="15" t="str">
        <x:v>no</x:v>
      </x:c>
      <x:c r="D112" s="15" t="str">
        <x:v>asset:toefl:set-13:part-5:listen-choose-1</x:v>
      </x:c>
      <x:c r="E112" s="15" t="str">
        <x:v>set-13</x:v>
      </x:c>
      <x:c r="F112" s="15" t="str">
        <x:v>Listen and Choose a Response</x:v>
      </x:c>
      <x:c r="G112" s="15" t="str">
        <x:v>/Users/josedavidduartesilva/Developer/idiomaswl/public/audio/toefl/set-13/listen-choose-1.mp3</x:v>
      </x:c>
      <x:c r="H112" s="19" t="n">
        <x:v>4.02</x:v>
      </x:c>
      <x:c r="I112" s="15" t="str">
        <x:v>P1</x:v>
      </x:c>
      <x:c r="J112" s="15" t="str">
        <x:v>100_percent_required_T08</x:v>
      </x:c>
      <x:c r="K112" s="15" t="str">
        <x:v>pass_automated_T06</x:v>
      </x:c>
      <x:c r="L112" s="15" t="str">
        <x:v>none</x:v>
      </x:c>
      <x:c r="M112" s="15" t="str">
        <x:v>none</x:v>
      </x:c>
      <x:c r="N112" s="15" t="str">
        <x:v>conserve_source_technical_candidate</x:v>
      </x:c>
      <x:c r="O112" s="15" t="str">
        <x:v>asr_candidate_recovered_pending_human</x:v>
      </x:c>
      <x:c r="P112" s="15" t="str">
        <x:v>LING-SOURCE-001;LING-STRESS-001</x:v>
      </x:c>
      <x:c r="Q112" s="15" t="str"/>
      <x:c r="R112" s="15" t="str">
        <x:v>Excuse me, do you know where I can find the schedule for the club meetings?</x:v>
      </x:c>
      <x:c r="S112" s="15" t="str">
        <x:v>no_source_candidate</x:v>
      </x:c>
      <x:c r="T112" s="15" t="str">
        <x:v>manual_exchange_review_pass_pending_T08</x:v>
      </x:c>
      <x:c r="U112" s="15" t="str">
        <x:v>B_transcript_adjudication_candidate</x:v>
      </x:c>
      <x:c r="V112" s="16" t="str">
        <x:v>not_started</x:v>
      </x:c>
      <x:c r="W112" s="16"/>
      <x:c r="X112" s="16"/>
      <x:c r="Y112" s="16"/>
      <x:c r="Z112" s="16"/>
      <x:c r="AA112" s="16"/>
      <x:c r="AB112" s="16"/>
      <x:c r="AC112" s="16"/>
      <x:c r="AD112" s="16"/>
      <x:c r="AE112" s="16"/>
      <x:c r="AF112" s="16"/>
      <x:c r="AG112" s="16"/>
      <x:c r="AH112" s="16"/>
      <x:c r="AI112" s="16"/>
      <x:c r="AJ112" s="16"/>
      <x:c r="AK112" s="16"/>
      <x:c r="AL112" s="16"/>
      <x:c r="AM112" s="16"/>
      <x:c r="AN112" s="16"/>
      <x:c r="AO112" s="16"/>
      <x:c r="AP112" s="16"/>
      <x:c r="AQ112" s="16"/>
      <x:c r="AR112" s="16"/>
      <x:c r="AS112" s="16"/>
      <x:c r="AT112" s="20"/>
      <x:c r="AU112" s="16"/>
      <x:c r="AV112" s="16"/>
      <x:c r="AW112" s="16" t="str">
        <x:v>pending</x:v>
      </x:c>
      <x:c r="AX112" s="17" t="str">
        <x:v>blocked_not_validated</x:v>
      </x:c>
      <x:c r="AY112" s="18" t="str">
        <x:f>IF(OR(C112="yes",X112="corrected",COUNTIF(Z112:AL112,"major")&gt;0,COUNTIF(Z112:AL112,"blocker")&gt;0,OR(AO112="repair",AO112="segment",AO112="replace",AO112="block")),"yes","no")</x:f>
        <x:v>no</x:v>
      </x:c>
      <x:c r="AZ112" s="18" t="str">
        <x:f>IF(AND(V112="reviewed",W112&gt;=1,X112&lt;&gt;"",Y112&lt;&gt;"",COUNTA(Z112:AL112)=13,AM112&lt;&gt;"",AN112&lt;&gt;"",AO112&lt;&gt;"",AP112&lt;&gt;"",AQ112&lt;&gt;"",AR112&lt;&gt;"",AS112="I_listened_at_1x_and_completed_all_required_fields",AT112&lt;&gt;"",AW112="adjudicated",OR(AY112="no",AND(AU112&lt;&gt;"",AV112&lt;&gt;""))),"complete","incomplete")</x:f>
        <x:v>incomplete</x:v>
      </x:c>
      <x:c r="BA112" s="18" t="str">
        <x:f>IF(AZ112="complete","none","faltan campos humanos, adjudicación o segunda revisión")</x:f>
        <x:v>faltan campos humanos, adjudicación o segunda revisión</x:v>
      </x:c>
    </x:row>
    <x:row r="113" ht="36" customHeight="1">
      <x:c r="A113" s="15" t="n">
        <x:v>112</x:v>
      </x:c>
      <x:c r="B113" s="15" t="str">
        <x:v>P1-CHOOSE</x:v>
      </x:c>
      <x:c r="C113" s="15" t="str">
        <x:v>no</x:v>
      </x:c>
      <x:c r="D113" s="15" t="str">
        <x:v>asset:toefl:set-13:part-5:listen-choose-2</x:v>
      </x:c>
      <x:c r="E113" s="15" t="str">
        <x:v>set-13</x:v>
      </x:c>
      <x:c r="F113" s="15" t="str">
        <x:v>Listen and Choose a Response</x:v>
      </x:c>
      <x:c r="G113" s="15" t="str">
        <x:v>/Users/josedavidduartesilva/Developer/idiomaswl/public/audio/toefl/set-13/listen-choose-2.mp3</x:v>
      </x:c>
      <x:c r="H113" s="19" t="n">
        <x:v>3.22</x:v>
      </x:c>
      <x:c r="I113" s="15" t="str">
        <x:v>P1</x:v>
      </x:c>
      <x:c r="J113" s="15" t="str">
        <x:v>100_percent_required_T08</x:v>
      </x:c>
      <x:c r="K113" s="15" t="str">
        <x:v>pass_automated_T06</x:v>
      </x:c>
      <x:c r="L113" s="15" t="str">
        <x:v>none</x:v>
      </x:c>
      <x:c r="M113" s="15" t="str">
        <x:v>none</x:v>
      </x:c>
      <x:c r="N113" s="15" t="str">
        <x:v>conserve_source_technical_candidate</x:v>
      </x:c>
      <x:c r="O113" s="15" t="str">
        <x:v>asr_candidate_recovered_pending_human</x:v>
      </x:c>
      <x:c r="P113" s="15" t="str">
        <x:v>LING-SOURCE-001;LING-STRESS-001</x:v>
      </x:c>
      <x:c r="Q113" s="15" t="str"/>
      <x:c r="R113" s="15" t="str">
        <x:v>Could you send me a copy of the report before the meeting?</x:v>
      </x:c>
      <x:c r="S113" s="15" t="str">
        <x:v>no_source_candidate</x:v>
      </x:c>
      <x:c r="T113" s="15" t="str">
        <x:v>manual_exchange_review_pass_pending_T08</x:v>
      </x:c>
      <x:c r="U113" s="15" t="str">
        <x:v>B_transcript_adjudication_candidate</x:v>
      </x:c>
      <x:c r="V113" s="16" t="str">
        <x:v>not_started</x:v>
      </x:c>
      <x:c r="W113" s="16"/>
      <x:c r="X113" s="16"/>
      <x:c r="Y113" s="16"/>
      <x:c r="Z113" s="16"/>
      <x:c r="AA113" s="16"/>
      <x:c r="AB113" s="16"/>
      <x:c r="AC113" s="16"/>
      <x:c r="AD113" s="16"/>
      <x:c r="AE113" s="16"/>
      <x:c r="AF113" s="16"/>
      <x:c r="AG113" s="16"/>
      <x:c r="AH113" s="16"/>
      <x:c r="AI113" s="16"/>
      <x:c r="AJ113" s="16"/>
      <x:c r="AK113" s="16"/>
      <x:c r="AL113" s="16"/>
      <x:c r="AM113" s="16"/>
      <x:c r="AN113" s="16"/>
      <x:c r="AO113" s="16"/>
      <x:c r="AP113" s="16"/>
      <x:c r="AQ113" s="16"/>
      <x:c r="AR113" s="16"/>
      <x:c r="AS113" s="16"/>
      <x:c r="AT113" s="20"/>
      <x:c r="AU113" s="16"/>
      <x:c r="AV113" s="16"/>
      <x:c r="AW113" s="16" t="str">
        <x:v>pending</x:v>
      </x:c>
      <x:c r="AX113" s="17" t="str">
        <x:v>blocked_not_validated</x:v>
      </x:c>
      <x:c r="AY113" s="18" t="str">
        <x:f>IF(OR(C113="yes",X113="corrected",COUNTIF(Z113:AL113,"major")&gt;0,COUNTIF(Z113:AL113,"blocker")&gt;0,OR(AO113="repair",AO113="segment",AO113="replace",AO113="block")),"yes","no")</x:f>
        <x:v>no</x:v>
      </x:c>
      <x:c r="AZ113" s="18" t="str">
        <x:f>IF(AND(V113="reviewed",W113&gt;=1,X113&lt;&gt;"",Y113&lt;&gt;"",COUNTA(Z113:AL113)=13,AM113&lt;&gt;"",AN113&lt;&gt;"",AO113&lt;&gt;"",AP113&lt;&gt;"",AQ113&lt;&gt;"",AR113&lt;&gt;"",AS113="I_listened_at_1x_and_completed_all_required_fields",AT113&lt;&gt;"",AW113="adjudicated",OR(AY113="no",AND(AU113&lt;&gt;"",AV113&lt;&gt;""))),"complete","incomplete")</x:f>
        <x:v>incomplete</x:v>
      </x:c>
      <x:c r="BA113" s="18" t="str">
        <x:f>IF(AZ113="complete","none","faltan campos humanos, adjudicación o segunda revisión")</x:f>
        <x:v>faltan campos humanos, adjudicación o segunda revisión</x:v>
      </x:c>
    </x:row>
    <x:row r="114" ht="36" customHeight="1">
      <x:c r="A114" s="15" t="n">
        <x:v>113</x:v>
      </x:c>
      <x:c r="B114" s="15" t="str">
        <x:v>P1-CHOOSE</x:v>
      </x:c>
      <x:c r="C114" s="15" t="str">
        <x:v>no</x:v>
      </x:c>
      <x:c r="D114" s="15" t="str">
        <x:v>asset:toefl:set-13:part-5:listen-choose-3</x:v>
      </x:c>
      <x:c r="E114" s="15" t="str">
        <x:v>set-13</x:v>
      </x:c>
      <x:c r="F114" s="15" t="str">
        <x:v>Listen and Choose a Response</x:v>
      </x:c>
      <x:c r="G114" s="15" t="str">
        <x:v>/Users/josedavidduartesilva/Developer/idiomaswl/public/audio/toefl/set-13/listen-choose-3.mp3</x:v>
      </x:c>
      <x:c r="H114" s="19" t="n">
        <x:v>4.58</x:v>
      </x:c>
      <x:c r="I114" s="15" t="str">
        <x:v>P1</x:v>
      </x:c>
      <x:c r="J114" s="15" t="str">
        <x:v>100_percent_required_T08</x:v>
      </x:c>
      <x:c r="K114" s="15" t="str">
        <x:v>pass_automated_T06</x:v>
      </x:c>
      <x:c r="L114" s="15" t="str">
        <x:v>none</x:v>
      </x:c>
      <x:c r="M114" s="15" t="str">
        <x:v>none</x:v>
      </x:c>
      <x:c r="N114" s="15" t="str">
        <x:v>conserve_source_technical_candidate</x:v>
      </x:c>
      <x:c r="O114" s="15" t="str">
        <x:v>asr_candidate_recovered_pending_human</x:v>
      </x:c>
      <x:c r="P114" s="15" t="str">
        <x:v>LING-SOURCE-001;LING-STRESS-001</x:v>
      </x:c>
      <x:c r="Q114" s="15" t="str"/>
      <x:c r="R114" s="15" t="str">
        <x:v>I think I lost my umbrella somewhere on campus. Where should I go to look for it?</x:v>
      </x:c>
      <x:c r="S114" s="15" t="str">
        <x:v>no_source_candidate</x:v>
      </x:c>
      <x:c r="T114" s="15" t="str">
        <x:v>manual_exchange_review_pass_pending_T08</x:v>
      </x:c>
      <x:c r="U114" s="15" t="str">
        <x:v>B_transcript_adjudication_candidate</x:v>
      </x:c>
      <x:c r="V114" s="16" t="str">
        <x:v>not_started</x:v>
      </x:c>
      <x:c r="W114" s="16"/>
      <x:c r="X114" s="16"/>
      <x:c r="Y114" s="16"/>
      <x:c r="Z114" s="16"/>
      <x:c r="AA114" s="16"/>
      <x:c r="AB114" s="16"/>
      <x:c r="AC114" s="16"/>
      <x:c r="AD114" s="16"/>
      <x:c r="AE114" s="16"/>
      <x:c r="AF114" s="16"/>
      <x:c r="AG114" s="16"/>
      <x:c r="AH114" s="16"/>
      <x:c r="AI114" s="16"/>
      <x:c r="AJ114" s="16"/>
      <x:c r="AK114" s="16"/>
      <x:c r="AL114" s="16"/>
      <x:c r="AM114" s="16"/>
      <x:c r="AN114" s="16"/>
      <x:c r="AO114" s="16"/>
      <x:c r="AP114" s="16"/>
      <x:c r="AQ114" s="16"/>
      <x:c r="AR114" s="16"/>
      <x:c r="AS114" s="16"/>
      <x:c r="AT114" s="20"/>
      <x:c r="AU114" s="16"/>
      <x:c r="AV114" s="16"/>
      <x:c r="AW114" s="16" t="str">
        <x:v>pending</x:v>
      </x:c>
      <x:c r="AX114" s="17" t="str">
        <x:v>blocked_not_validated</x:v>
      </x:c>
      <x:c r="AY114" s="18" t="str">
        <x:f>IF(OR(C114="yes",X114="corrected",COUNTIF(Z114:AL114,"major")&gt;0,COUNTIF(Z114:AL114,"blocker")&gt;0,OR(AO114="repair",AO114="segment",AO114="replace",AO114="block")),"yes","no")</x:f>
        <x:v>no</x:v>
      </x:c>
      <x:c r="AZ114" s="18" t="str">
        <x:f>IF(AND(V114="reviewed",W114&gt;=1,X114&lt;&gt;"",Y114&lt;&gt;"",COUNTA(Z114:AL114)=13,AM114&lt;&gt;"",AN114&lt;&gt;"",AO114&lt;&gt;"",AP114&lt;&gt;"",AQ114&lt;&gt;"",AR114&lt;&gt;"",AS114="I_listened_at_1x_and_completed_all_required_fields",AT114&lt;&gt;"",AW114="adjudicated",OR(AY114="no",AND(AU114&lt;&gt;"",AV114&lt;&gt;""))),"complete","incomplete")</x:f>
        <x:v>incomplete</x:v>
      </x:c>
      <x:c r="BA114" s="18" t="str">
        <x:f>IF(AZ114="complete","none","faltan campos humanos, adjudicación o segunda revisión")</x:f>
        <x:v>faltan campos humanos, adjudicación o segunda revisión</x:v>
      </x:c>
    </x:row>
    <x:row r="115" ht="36" customHeight="1">
      <x:c r="A115" s="15" t="n">
        <x:v>114</x:v>
      </x:c>
      <x:c r="B115" s="15" t="str">
        <x:v>P1-CHOOSE</x:v>
      </x:c>
      <x:c r="C115" s="15" t="str">
        <x:v>no</x:v>
      </x:c>
      <x:c r="D115" s="15" t="str">
        <x:v>asset:toefl:set-13:part-5:listen-choose-4</x:v>
      </x:c>
      <x:c r="E115" s="15" t="str">
        <x:v>set-13</x:v>
      </x:c>
      <x:c r="F115" s="15" t="str">
        <x:v>Listen and Choose a Response</x:v>
      </x:c>
      <x:c r="G115" s="15" t="str">
        <x:v>/Users/josedavidduartesilva/Developer/idiomaswl/public/audio/toefl/set-13/listen-choose-4.mp3</x:v>
      </x:c>
      <x:c r="H115" s="19" t="n">
        <x:v>2.901</x:v>
      </x:c>
      <x:c r="I115" s="15" t="str">
        <x:v>P1</x:v>
      </x:c>
      <x:c r="J115" s="15" t="str">
        <x:v>100_percent_required_T08</x:v>
      </x:c>
      <x:c r="K115" s="15" t="str">
        <x:v>pass_automated_T06</x:v>
      </x:c>
      <x:c r="L115" s="15" t="str">
        <x:v>none</x:v>
      </x:c>
      <x:c r="M115" s="15" t="str">
        <x:v>none</x:v>
      </x:c>
      <x:c r="N115" s="15" t="str">
        <x:v>conserve_source_technical_candidate</x:v>
      </x:c>
      <x:c r="O115" s="15" t="str">
        <x:v>asr_candidate_recovered_pending_human</x:v>
      </x:c>
      <x:c r="P115" s="15" t="str">
        <x:v>LING-SOURCE-001;LING-STRESS-001</x:v>
      </x:c>
      <x:c r="Q115" s="15" t="str"/>
      <x:c r="R115" s="15" t="str">
        <x:v>Are you coming to the guest lecture this afternoon?</x:v>
      </x:c>
      <x:c r="S115" s="15" t="str">
        <x:v>no_source_candidate</x:v>
      </x:c>
      <x:c r="T115" s="15" t="str">
        <x:v>manual_exchange_review_pass_pending_T08</x:v>
      </x:c>
      <x:c r="U115" s="15" t="str">
        <x:v>B_transcript_adjudication_candidate</x:v>
      </x:c>
      <x:c r="V115" s="16" t="str">
        <x:v>not_started</x:v>
      </x:c>
      <x:c r="W115" s="16"/>
      <x:c r="X115" s="16"/>
      <x:c r="Y115" s="16"/>
      <x:c r="Z115" s="16"/>
      <x:c r="AA115" s="16"/>
      <x:c r="AB115" s="16"/>
      <x:c r="AC115" s="16"/>
      <x:c r="AD115" s="16"/>
      <x:c r="AE115" s="16"/>
      <x:c r="AF115" s="16"/>
      <x:c r="AG115" s="16"/>
      <x:c r="AH115" s="16"/>
      <x:c r="AI115" s="16"/>
      <x:c r="AJ115" s="16"/>
      <x:c r="AK115" s="16"/>
      <x:c r="AL115" s="16"/>
      <x:c r="AM115" s="16"/>
      <x:c r="AN115" s="16"/>
      <x:c r="AO115" s="16"/>
      <x:c r="AP115" s="16"/>
      <x:c r="AQ115" s="16"/>
      <x:c r="AR115" s="16"/>
      <x:c r="AS115" s="16"/>
      <x:c r="AT115" s="20"/>
      <x:c r="AU115" s="16"/>
      <x:c r="AV115" s="16"/>
      <x:c r="AW115" s="16" t="str">
        <x:v>pending</x:v>
      </x:c>
      <x:c r="AX115" s="17" t="str">
        <x:v>blocked_not_validated</x:v>
      </x:c>
      <x:c r="AY115" s="18" t="str">
        <x:f>IF(OR(C115="yes",X115="corrected",COUNTIF(Z115:AL115,"major")&gt;0,COUNTIF(Z115:AL115,"blocker")&gt;0,OR(AO115="repair",AO115="segment",AO115="replace",AO115="block")),"yes","no")</x:f>
        <x:v>no</x:v>
      </x:c>
      <x:c r="AZ115" s="18" t="str">
        <x:f>IF(AND(V115="reviewed",W115&gt;=1,X115&lt;&gt;"",Y115&lt;&gt;"",COUNTA(Z115:AL115)=13,AM115&lt;&gt;"",AN115&lt;&gt;"",AO115&lt;&gt;"",AP115&lt;&gt;"",AQ115&lt;&gt;"",AR115&lt;&gt;"",AS115="I_listened_at_1x_and_completed_all_required_fields",AT115&lt;&gt;"",AW115="adjudicated",OR(AY115="no",AND(AU115&lt;&gt;"",AV115&lt;&gt;""))),"complete","incomplete")</x:f>
        <x:v>incomplete</x:v>
      </x:c>
      <x:c r="BA115" s="18" t="str">
        <x:f>IF(AZ115="complete","none","faltan campos humanos, adjudicación o segunda revisión")</x:f>
        <x:v>faltan campos humanos, adjudicación o segunda revisión</x:v>
      </x:c>
    </x:row>
    <x:row r="116" ht="36" customHeight="1">
      <x:c r="A116" s="15" t="n">
        <x:v>115</x:v>
      </x:c>
      <x:c r="B116" s="15" t="str">
        <x:v>P1-CHOOSE</x:v>
      </x:c>
      <x:c r="C116" s="15" t="str">
        <x:v>no</x:v>
      </x:c>
      <x:c r="D116" s="15" t="str">
        <x:v>asset:toefl:set-13:part-5:listen-choose-5</x:v>
      </x:c>
      <x:c r="E116" s="15" t="str">
        <x:v>set-13</x:v>
      </x:c>
      <x:c r="F116" s="15" t="str">
        <x:v>Listen and Choose a Response</x:v>
      </x:c>
      <x:c r="G116" s="15" t="str">
        <x:v>/Users/josedavidduartesilva/Developer/idiomaswl/public/audio/toefl/set-13/listen-choose-5.mp3</x:v>
      </x:c>
      <x:c r="H116" s="19" t="n">
        <x:v>3.94</x:v>
      </x:c>
      <x:c r="I116" s="15" t="str">
        <x:v>P1</x:v>
      </x:c>
      <x:c r="J116" s="15" t="str">
        <x:v>100_percent_required_T08</x:v>
      </x:c>
      <x:c r="K116" s="15" t="str">
        <x:v>pass_automated_T06</x:v>
      </x:c>
      <x:c r="L116" s="15" t="str">
        <x:v>none</x:v>
      </x:c>
      <x:c r="M116" s="15" t="str">
        <x:v>none</x:v>
      </x:c>
      <x:c r="N116" s="15" t="str">
        <x:v>conserve_source_technical_candidate</x:v>
      </x:c>
      <x:c r="O116" s="15" t="str">
        <x:v>asr_candidate_recovered_pending_human</x:v>
      </x:c>
      <x:c r="P116" s="15" t="str">
        <x:v>LING-SOURCE-001;LING-STRESS-001</x:v>
      </x:c>
      <x:c r="Q116" s="15" t="str"/>
      <x:c r="R116" s="15" t="str">
        <x:v>You look so relieved today, did you finally finish your thesis?</x:v>
      </x:c>
      <x:c r="S116" s="15" t="str">
        <x:v>no_source_candidate</x:v>
      </x:c>
      <x:c r="T116" s="15" t="str">
        <x:v>manual_exchange_review_pass_pending_T08</x:v>
      </x:c>
      <x:c r="U116" s="15" t="str">
        <x:v>B_transcript_adjudication_candidate</x:v>
      </x:c>
      <x:c r="V116" s="16" t="str">
        <x:v>not_started</x:v>
      </x:c>
      <x:c r="W116" s="16"/>
      <x:c r="X116" s="16"/>
      <x:c r="Y116" s="16"/>
      <x:c r="Z116" s="16"/>
      <x:c r="AA116" s="16"/>
      <x:c r="AB116" s="16"/>
      <x:c r="AC116" s="16"/>
      <x:c r="AD116" s="16"/>
      <x:c r="AE116" s="16"/>
      <x:c r="AF116" s="16"/>
      <x:c r="AG116" s="16"/>
      <x:c r="AH116" s="16"/>
      <x:c r="AI116" s="16"/>
      <x:c r="AJ116" s="16"/>
      <x:c r="AK116" s="16"/>
      <x:c r="AL116" s="16"/>
      <x:c r="AM116" s="16"/>
      <x:c r="AN116" s="16"/>
      <x:c r="AO116" s="16"/>
      <x:c r="AP116" s="16"/>
      <x:c r="AQ116" s="16"/>
      <x:c r="AR116" s="16"/>
      <x:c r="AS116" s="16"/>
      <x:c r="AT116" s="20"/>
      <x:c r="AU116" s="16"/>
      <x:c r="AV116" s="16"/>
      <x:c r="AW116" s="16" t="str">
        <x:v>pending</x:v>
      </x:c>
      <x:c r="AX116" s="17" t="str">
        <x:v>blocked_not_validated</x:v>
      </x:c>
      <x:c r="AY116" s="18" t="str">
        <x:f>IF(OR(C116="yes",X116="corrected",COUNTIF(Z116:AL116,"major")&gt;0,COUNTIF(Z116:AL116,"blocker")&gt;0,OR(AO116="repair",AO116="segment",AO116="replace",AO116="block")),"yes","no")</x:f>
        <x:v>no</x:v>
      </x:c>
      <x:c r="AZ116" s="18" t="str">
        <x:f>IF(AND(V116="reviewed",W116&gt;=1,X116&lt;&gt;"",Y116&lt;&gt;"",COUNTA(Z116:AL116)=13,AM116&lt;&gt;"",AN116&lt;&gt;"",AO116&lt;&gt;"",AP116&lt;&gt;"",AQ116&lt;&gt;"",AR116&lt;&gt;"",AS116="I_listened_at_1x_and_completed_all_required_fields",AT116&lt;&gt;"",AW116="adjudicated",OR(AY116="no",AND(AU116&lt;&gt;"",AV116&lt;&gt;""))),"complete","incomplete")</x:f>
        <x:v>incomplete</x:v>
      </x:c>
      <x:c r="BA116" s="18" t="str">
        <x:f>IF(AZ116="complete","none","faltan campos humanos, adjudicación o segunda revisión")</x:f>
        <x:v>faltan campos humanos, adjudicación o segunda revisión</x:v>
      </x:c>
    </x:row>
    <x:row r="117" ht="36" customHeight="1">
      <x:c r="A117" s="15" t="n">
        <x:v>116</x:v>
      </x:c>
      <x:c r="B117" s="15" t="str">
        <x:v>P1-LONG</x:v>
      </x:c>
      <x:c r="C117" s="15" t="str">
        <x:v>no</x:v>
      </x:c>
      <x:c r="D117" s="15" t="str">
        <x:v>asset:toefl:set-13:part-6:conversation</x:v>
      </x:c>
      <x:c r="E117" s="15" t="str">
        <x:v>set-13</x:v>
      </x:c>
      <x:c r="F117" s="15" t="str">
        <x:v>Listen to a Conversation</x:v>
      </x:c>
      <x:c r="G117" s="15" t="str">
        <x:v>/Users/josedavidduartesilva/Developer/idiomaswl/public/audio/toefl/set-13/conversation.mp3</x:v>
      </x:c>
      <x:c r="H117" s="19" t="n">
        <x:v>59.28</x:v>
      </x:c>
      <x:c r="I117" s="15" t="str">
        <x:v>P1</x:v>
      </x:c>
      <x:c r="J117" s="15" t="str">
        <x:v>100_percent_required_T08_T15</x:v>
      </x:c>
      <x:c r="K117" s="15" t="str">
        <x:v>pass_with_actionable_warning</x:v>
      </x:c>
      <x:c r="L117" s="15" t="str">
        <x:v>none</x:v>
      </x:c>
      <x:c r="M117" s="15" t="str">
        <x:v>TECH-PEAK-003</x:v>
      </x:c>
      <x:c r="N117" s="15" t="str">
        <x:v>review_warning_in_T08_before_conserve</x:v>
      </x:c>
      <x:c r="O117" s="15" t="str">
        <x:v>source_material_diff_pending_human</x:v>
      </x:c>
      <x:c r="P117" s="15" t="str">
        <x:v>LING-DIFF-001;LING-CRIT-001;LING-LEN-001</x:v>
      </x:c>
      <x:c r="Q117" s="15" t="str">
        <x:v>MAN: Are you going to run for the student council election? The deadline to apply is Friday.
WOMAN: I've been thinking about it, actually. But I'm not sure I have time. Between classes and my part-time job, I'm already stretched thin.
MAN: I get that. But you're always complaining about how the council never does anything about the issues students care about — like the lack of study space during exams.
WOMAN: That's true. And honestly, that's exactly why I'm tempted. If I don't run, I can't really complain, can I?
MAN: Fair point. How much of a time commitment is it, do you know?
WOMAN: From what I've heard, it's about three hours a week — one meeting plus some smaller tasks. It's not huge, but it adds up during busy weeks.
MAN: Three hours isn't bad. And it would look great on your résumé. Plus, you'd actually be able to push for those changes you keep talking about.
WOMAN: You know what, you're right. I'd rather try and maybe make a difference than sit around wishing things were better. I'll put my name in before Friday.</x:v>
      </x:c>
      <x:c r="R117" s="15" t="str">
        <x:v>Are you going to run for the student council election? The deadline to apply is Friday. I've been thinking about it, actually, but I'm not sure I have time. Between classes and my part-time job, I'm already stretched thin. I get that, but you're always complaining about how the council never does anything about the issues students care about, like the lack of study space during exams. That's true, and honestly, that's exactly why I'm tempted. If I don't run, I can't really complain, can I? Fair point. How much of a time commitment is it, D&amp;O? From what I've heard, it's about three hours a week, one meeting plus some smaller tasks. It's not huge, but it adds up during busy weeks. Three hours isn't bad, and it would look great on your resume. Plus, you'd actually be able to push for those changes you keep talking about. You know what, you're right. I'd rather try and maybe make a difference than sit around wishing things were better. I'll put my name in before Friday.</x:v>
      </x:c>
      <x:c r="S117" s="15" t="str">
        <x:v>D:do | S:you→d | S:know→0</x:v>
      </x:c>
      <x:c r="T117" s="15" t="str">
        <x:v>source_contract_preserved_subject_to_T08</x:v>
      </x:c>
      <x:c r="U117" s="15" t="str">
        <x:v>C_linguistic_segment_or_reframe_candidate</x:v>
      </x:c>
      <x:c r="V117" s="16" t="str">
        <x:v>not_started</x:v>
      </x:c>
      <x:c r="W117" s="16"/>
      <x:c r="X117" s="16"/>
      <x:c r="Y117" s="16"/>
      <x:c r="Z117" s="16"/>
      <x:c r="AA117" s="16"/>
      <x:c r="AB117" s="16"/>
      <x:c r="AC117" s="16"/>
      <x:c r="AD117" s="16"/>
      <x:c r="AE117" s="16"/>
      <x:c r="AF117" s="16"/>
      <x:c r="AG117" s="16"/>
      <x:c r="AH117" s="16"/>
      <x:c r="AI117" s="16"/>
      <x:c r="AJ117" s="16"/>
      <x:c r="AK117" s="16"/>
      <x:c r="AL117" s="16"/>
      <x:c r="AM117" s="16"/>
      <x:c r="AN117" s="16"/>
      <x:c r="AO117" s="16"/>
      <x:c r="AP117" s="16"/>
      <x:c r="AQ117" s="16"/>
      <x:c r="AR117" s="16"/>
      <x:c r="AS117" s="16"/>
      <x:c r="AT117" s="20"/>
      <x:c r="AU117" s="16"/>
      <x:c r="AV117" s="16"/>
      <x:c r="AW117" s="16" t="str">
        <x:v>pending</x:v>
      </x:c>
      <x:c r="AX117" s="17" t="str">
        <x:v>blocked_not_validated</x:v>
      </x:c>
      <x:c r="AY117" s="18" t="str">
        <x:f>IF(OR(C117="yes",X117="corrected",COUNTIF(Z117:AL117,"major")&gt;0,COUNTIF(Z117:AL117,"blocker")&gt;0,OR(AO117="repair",AO117="segment",AO117="replace",AO117="block")),"yes","no")</x:f>
        <x:v>no</x:v>
      </x:c>
      <x:c r="AZ117" s="18" t="str">
        <x:f>IF(AND(V117="reviewed",W117&gt;=1,X117&lt;&gt;"",Y117&lt;&gt;"",COUNTA(Z117:AL117)=13,AM117&lt;&gt;"",AN117&lt;&gt;"",AO117&lt;&gt;"",AP117&lt;&gt;"",AQ117&lt;&gt;"",AR117&lt;&gt;"",AS117="I_listened_at_1x_and_completed_all_required_fields",AT117&lt;&gt;"",AW117="adjudicated",OR(AY117="no",AND(AU117&lt;&gt;"",AV117&lt;&gt;""))),"complete","incomplete")</x:f>
        <x:v>incomplete</x:v>
      </x:c>
      <x:c r="BA117" s="18" t="str">
        <x:f>IF(AZ117="complete","none","faltan campos humanos, adjudicación o segunda revisión")</x:f>
        <x:v>faltan campos humanos, adjudicación o segunda revisión</x:v>
      </x:c>
    </x:row>
    <x:row r="118" ht="36" customHeight="1">
      <x:c r="A118" s="15" t="n">
        <x:v>117</x:v>
      </x:c>
      <x:c r="B118" s="15" t="str">
        <x:v>P1-LONG</x:v>
      </x:c>
      <x:c r="C118" s="15" t="str">
        <x:v>no</x:v>
      </x:c>
      <x:c r="D118" s="15" t="str">
        <x:v>asset:toefl:set-13:part-7:announcement</x:v>
      </x:c>
      <x:c r="E118" s="15" t="str">
        <x:v>set-13</x:v>
      </x:c>
      <x:c r="F118" s="15" t="str">
        <x:v>Listen to an Announcement</x:v>
      </x:c>
      <x:c r="G118" s="15" t="str">
        <x:v>/Users/josedavidduartesilva/Developer/idiomaswl/public/audio/toefl/set-13/announcement.mp3</x:v>
      </x:c>
      <x:c r="H118" s="19" t="n">
        <x:v>44.18</x:v>
      </x:c>
      <x:c r="I118" s="15" t="str">
        <x:v>P1</x:v>
      </x:c>
      <x:c r="J118" s="15" t="str">
        <x:v>100_percent_required_T08_T15</x:v>
      </x:c>
      <x:c r="K118" s="15" t="str">
        <x:v>pass_automated_T06</x:v>
      </x:c>
      <x:c r="L118" s="15" t="str">
        <x:v>none</x:v>
      </x:c>
      <x:c r="M118" s="15" t="str">
        <x:v>none</x:v>
      </x:c>
      <x:c r="N118" s="15" t="str">
        <x:v>conserve_source_technical_candidate</x:v>
      </x:c>
      <x:c r="O118" s="15" t="str">
        <x:v>source_exact_normalized_supported_pending_human</x:v>
      </x:c>
      <x:c r="P118" s="15" t="str">
        <x:v>LING-LEN-001</x:v>
      </x:c>
      <x:c r="Q118" s="15" t="str">
        <x:v>Attention, all passengers. This is an announcement regarding the airport shuttle service. Due to unexpected road maintenance on the main access road, the shuttle to Terminal 2 will depart from a temporary stop at Bay 7, rather than the usual Bay 3, until further notice. Bay 7 is located at the far end of the arrivals hall, near the information desk.
The shuttle will continue to run every fifteen minutes, and the journey time to Terminal 2 remains about ten minutes. If you are catching a flight, we recommend allowing a little extra time to find the new departure point. Staff in orange vests are stationed throughout the arrivals hall to direct you. We apologize for any confusion this may cause and thank you for your patience.</x:v>
      </x:c>
      <x:c r="R118" s="15" t="str">
        <x:v>Attention all passengers, this is an announcement regarding the airport shuttle service. Due to unexpected road maintenance on the main access road, the shuttle to terminal 2 will depart from a temporary stop at bay 7 rather than the usual bay 3 until further notice. Bay 7 is located at the far end of the arrivals hall near the information desk. The shuttle will continue to run every 15 minutes and the journey time to terminal 2 remains about 10 minutes. If you are catching a flight, we recommend allowing a little extra time to find the new departure point. Staff in orange vests are stationed throughout the Arrivals Hall to direct you. We apologize for any confusion this may cause, and thank you for your patience.</x:v>
      </x:c>
      <x:c r="S118" s="15" t="str">
        <x:v>none</x:v>
      </x:c>
      <x:c r="T118" s="15" t="str">
        <x:v>source_contract_preserved_subject_to_T08</x:v>
      </x:c>
      <x:c r="U118" s="15" t="str">
        <x:v>C_linguistic_segment_or_reframe_candidate</x:v>
      </x:c>
      <x:c r="V118" s="16" t="str">
        <x:v>not_started</x:v>
      </x:c>
      <x:c r="W118" s="16"/>
      <x:c r="X118" s="16"/>
      <x:c r="Y118" s="16"/>
      <x:c r="Z118" s="16"/>
      <x:c r="AA118" s="16"/>
      <x:c r="AB118" s="16"/>
      <x:c r="AC118" s="16"/>
      <x:c r="AD118" s="16"/>
      <x:c r="AE118" s="16"/>
      <x:c r="AF118" s="16"/>
      <x:c r="AG118" s="16"/>
      <x:c r="AH118" s="16"/>
      <x:c r="AI118" s="16"/>
      <x:c r="AJ118" s="16"/>
      <x:c r="AK118" s="16"/>
      <x:c r="AL118" s="16"/>
      <x:c r="AM118" s="16"/>
      <x:c r="AN118" s="16"/>
      <x:c r="AO118" s="16"/>
      <x:c r="AP118" s="16"/>
      <x:c r="AQ118" s="16"/>
      <x:c r="AR118" s="16"/>
      <x:c r="AS118" s="16"/>
      <x:c r="AT118" s="20"/>
      <x:c r="AU118" s="16"/>
      <x:c r="AV118" s="16"/>
      <x:c r="AW118" s="16" t="str">
        <x:v>pending</x:v>
      </x:c>
      <x:c r="AX118" s="17" t="str">
        <x:v>blocked_not_validated</x:v>
      </x:c>
      <x:c r="AY118" s="18" t="str">
        <x:f>IF(OR(C118="yes",X118="corrected",COUNTIF(Z118:AL118,"major")&gt;0,COUNTIF(Z118:AL118,"blocker")&gt;0,OR(AO118="repair",AO118="segment",AO118="replace",AO118="block")),"yes","no")</x:f>
        <x:v>no</x:v>
      </x:c>
      <x:c r="AZ118" s="18" t="str">
        <x:f>IF(AND(V118="reviewed",W118&gt;=1,X118&lt;&gt;"",Y118&lt;&gt;"",COUNTA(Z118:AL118)=13,AM118&lt;&gt;"",AN118&lt;&gt;"",AO118&lt;&gt;"",AP118&lt;&gt;"",AQ118&lt;&gt;"",AR118&lt;&gt;"",AS118="I_listened_at_1x_and_completed_all_required_fields",AT118&lt;&gt;"",AW118="adjudicated",OR(AY118="no",AND(AU118&lt;&gt;"",AV118&lt;&gt;""))),"complete","incomplete")</x:f>
        <x:v>incomplete</x:v>
      </x:c>
      <x:c r="BA118" s="18" t="str">
        <x:f>IF(AZ118="complete","none","faltan campos humanos, adjudicación o segunda revisión")</x:f>
        <x:v>faltan campos humanos, adjudicación o segunda revisión</x:v>
      </x:c>
    </x:row>
    <x:row r="119" ht="36" customHeight="1">
      <x:c r="A119" s="15" t="n">
        <x:v>118</x:v>
      </x:c>
      <x:c r="B119" s="15" t="str">
        <x:v>P1-LONG</x:v>
      </x:c>
      <x:c r="C119" s="15" t="str">
        <x:v>no</x:v>
      </x:c>
      <x:c r="D119" s="15" t="str">
        <x:v>asset:toefl:set-13:part-8:academic-talk</x:v>
      </x:c>
      <x:c r="E119" s="15" t="str">
        <x:v>set-13</x:v>
      </x:c>
      <x:c r="F119" s="15" t="str">
        <x:v>Listen to an Academic Talk</x:v>
      </x:c>
      <x:c r="G119" s="15" t="str">
        <x:v>/Users/josedavidduartesilva/Developer/idiomaswl/public/audio/toefl/set-13/academic-talk.mp3</x:v>
      </x:c>
      <x:c r="H119" s="19" t="n">
        <x:v>127.38</x:v>
      </x:c>
      <x:c r="I119" s="15" t="str">
        <x:v>P1</x:v>
      </x:c>
      <x:c r="J119" s="15" t="str">
        <x:v>100_percent_required_T08_T15</x:v>
      </x:c>
      <x:c r="K119" s="15" t="str">
        <x:v>fail_actionable</x:v>
      </x:c>
      <x:c r="L119" s="15" t="str">
        <x:v>TECH-LDN-002</x:v>
      </x:c>
      <x:c r="M119" s="15" t="str">
        <x:v>none</x:v>
      </x:c>
      <x:c r="N119" s="15" t="str">
        <x:v>measure_gain_create_versioned_normalized_variant</x:v>
      </x:c>
      <x:c r="O119" s="15" t="str">
        <x:v>source_exact_normalized_supported_pending_human</x:v>
      </x:c>
      <x:c r="P119" s="15" t="str">
        <x:v>TECH-T06-FAIL;LING-LEN-002</x:v>
      </x:c>
      <x:c r="Q119" s="15" t="str">
        <x:v>PROFESSOR: Today I want to explore a question that connects biology, history, and even economics: why did humans start farming? For most of our history — hundreds of thousands of years — humans were hunter-gatherers, moving around and living off wild plants and animals. Then, around twelve thousand years ago, in several parts of the world independently, people began to farm. This shift, sometimes called the Agricultural Revolution, changed everything. But why did it happen?
Here's a puzzle that has fascinated researchers: in many ways, early farming actually made people's lives harder, at least at first. Studies of ancient skeletons suggest that early farmers were often shorter, showed more signs of disease, and worked longer hours than the hunter-gatherers who came before them. Their diets were less varied, relying heavily on a few crops. So if farming was such hard work and produced less healthy people, why did anyone do it?
The leading explanation is not that farming made individual lives better, but that it allowed populations to grow. A given piece of land, once farmed, could support far more people than the same land could as wild territory. More food, even if it was less nutritious, meant more children surviving. So farming communities grew in number and eventually outcompeted or absorbed the hunter-gatherers around them. It's a crucial distinction: farming succeeded not because it improved quality of life, but because it improved quantity — of food and of people.
This has a broader lesson for how we think about human history. We often assume that new technologies are adopted because they make life better. But sometimes a technology spreads simply because it out-reproduces the alternative, even if the people using it are worse off. Farming didn't win because it was pleasant. It won because it was, in a demographic sense, unstoppable.</x:v>
      </x:c>
      <x:c r="R119" s="15" t="str">
        <x:v>Today, I want to explore a question that connects biology, history, and even economics. Why did humans start farming? For most of our history, hundreds of thousands of years, humans were hunter-gatherers, moving around and living off wild plants and animals. Then, around 12,000 years ago, in several parts of the world independently, people began to farm. This shift, sometimes called the agricultural revolution, changed everything. But why did it happen? Here's a puzzle that has fascinated researchers. In many ways, early farming actually made people's lives harder, at least at first. Studies of ancient skeletons suggest that early farmers were often shorter, showed more signs of disease, and worked longer hours than the hunter-gatherers who came before them. Their diets were less varied, relying heavily on a few crops. So if farming was such hard work and produced less healthy people, why did anyone do it? The leading explanation is not that farming made individual lives better, but that it allowed populations to grow. A given piece of land, once farmed, could support far more people than the same land could as wild territory. More food, even if it was less nutritious, meant more children surviving. So farming communities grew in number and eventually outcompeted or absorbed the hunter-gatherers around them. It's a crucial distinction. Farming succeeded not because it improved quality of life, but because it improved quantity of food and of people. This has a broader lesson for how we think about human history. We often assume that new technologies are adopted because they make life better. But sometimes, a technology spreads simply because it out-reproduces the alternative, even if the people using it are worse off. Farming didn't win because it was pleasant. It won because it was, in a demographic sense, unstoppable.</x:v>
      </x:c>
      <x:c r="S119" s="15" t="str">
        <x:v>none</x:v>
      </x:c>
      <x:c r="T119" s="15" t="str">
        <x:v>source_contract_preserved_subject_to_T08</x:v>
      </x:c>
      <x:c r="U119" s="15" t="str">
        <x:v>C_linguistic_segment_or_reframe_candidate</x:v>
      </x:c>
      <x:c r="V119" s="16" t="str">
        <x:v>not_started</x:v>
      </x:c>
      <x:c r="W119" s="16"/>
      <x:c r="X119" s="16"/>
      <x:c r="Y119" s="16"/>
      <x:c r="Z119" s="16"/>
      <x:c r="AA119" s="16"/>
      <x:c r="AB119" s="16"/>
      <x:c r="AC119" s="16"/>
      <x:c r="AD119" s="16"/>
      <x:c r="AE119" s="16"/>
      <x:c r="AF119" s="16"/>
      <x:c r="AG119" s="16"/>
      <x:c r="AH119" s="16"/>
      <x:c r="AI119" s="16"/>
      <x:c r="AJ119" s="16"/>
      <x:c r="AK119" s="16"/>
      <x:c r="AL119" s="16"/>
      <x:c r="AM119" s="16"/>
      <x:c r="AN119" s="16"/>
      <x:c r="AO119" s="16"/>
      <x:c r="AP119" s="16"/>
      <x:c r="AQ119" s="16"/>
      <x:c r="AR119" s="16"/>
      <x:c r="AS119" s="16"/>
      <x:c r="AT119" s="20"/>
      <x:c r="AU119" s="16"/>
      <x:c r="AV119" s="16"/>
      <x:c r="AW119" s="16" t="str">
        <x:v>pending</x:v>
      </x:c>
      <x:c r="AX119" s="17" t="str">
        <x:v>blocked_not_validated</x:v>
      </x:c>
      <x:c r="AY119" s="18" t="str">
        <x:f>IF(OR(C119="yes",X119="corrected",COUNTIF(Z119:AL119,"major")&gt;0,COUNTIF(Z119:AL119,"blocker")&gt;0,OR(AO119="repair",AO119="segment",AO119="replace",AO119="block")),"yes","no")</x:f>
        <x:v>no</x:v>
      </x:c>
      <x:c r="AZ119" s="18" t="str">
        <x:f>IF(AND(V119="reviewed",W119&gt;=1,X119&lt;&gt;"",Y119&lt;&gt;"",COUNTA(Z119:AL119)=13,AM119&lt;&gt;"",AN119&lt;&gt;"",AO119&lt;&gt;"",AP119&lt;&gt;"",AQ119&lt;&gt;"",AR119&lt;&gt;"",AS119="I_listened_at_1x_and_completed_all_required_fields",AT119&lt;&gt;"",AW119="adjudicated",OR(AY119="no",AND(AU119&lt;&gt;"",AV119&lt;&gt;""))),"complete","incomplete")</x:f>
        <x:v>incomplete</x:v>
      </x:c>
      <x:c r="BA119" s="18" t="str">
        <x:f>IF(AZ119="complete","none","faltan campos humanos, adjudicación o segunda revisión")</x:f>
        <x:v>faltan campos humanos, adjudicación o segunda revisión</x:v>
      </x:c>
    </x:row>
    <x:row r="120" ht="36" customHeight="1">
      <x:c r="A120" s="15" t="n">
        <x:v>119</x:v>
      </x:c>
      <x:c r="B120" s="15" t="str">
        <x:v>P1-CHOOSE</x:v>
      </x:c>
      <x:c r="C120" s="15" t="str">
        <x:v>no</x:v>
      </x:c>
      <x:c r="D120" s="15" t="str">
        <x:v>asset:toefl:set-14:part-5:listen-choose-1</x:v>
      </x:c>
      <x:c r="E120" s="15" t="str">
        <x:v>set-14</x:v>
      </x:c>
      <x:c r="F120" s="15" t="str">
        <x:v>Listen and Choose a Response</x:v>
      </x:c>
      <x:c r="G120" s="15" t="str">
        <x:v>/Users/josedavidduartesilva/Developer/idiomaswl/public/audio/toefl/set-14/listen-choose-1.mp3</x:v>
      </x:c>
      <x:c r="H120" s="19" t="n">
        <x:v>2.82</x:v>
      </x:c>
      <x:c r="I120" s="15" t="str">
        <x:v>P1</x:v>
      </x:c>
      <x:c r="J120" s="15" t="str">
        <x:v>100_percent_required_T08</x:v>
      </x:c>
      <x:c r="K120" s="15" t="str">
        <x:v>pass_automated_T06</x:v>
      </x:c>
      <x:c r="L120" s="15" t="str">
        <x:v>none</x:v>
      </x:c>
      <x:c r="M120" s="15" t="str">
        <x:v>none</x:v>
      </x:c>
      <x:c r="N120" s="15" t="str">
        <x:v>conserve_source_technical_candidate</x:v>
      </x:c>
      <x:c r="O120" s="15" t="str">
        <x:v>asr_candidate_recovered_pending_human</x:v>
      </x:c>
      <x:c r="P120" s="15" t="str">
        <x:v>LING-SOURCE-001;LING-STRESS-001</x:v>
      </x:c>
      <x:c r="Q120" s="15" t="str"/>
      <x:c r="R120" s="15" t="str">
        <x:v>Excuse me, do you know where the restrooms are?</x:v>
      </x:c>
      <x:c r="S120" s="15" t="str">
        <x:v>no_source_candidate</x:v>
      </x:c>
      <x:c r="T120" s="15" t="str">
        <x:v>manual_exchange_review_pass_pending_T08</x:v>
      </x:c>
      <x:c r="U120" s="15" t="str">
        <x:v>B_transcript_adjudication_candidate</x:v>
      </x:c>
      <x:c r="V120" s="16" t="str">
        <x:v>not_started</x:v>
      </x:c>
      <x:c r="W120" s="16"/>
      <x:c r="X120" s="16"/>
      <x:c r="Y120" s="16"/>
      <x:c r="Z120" s="16"/>
      <x:c r="AA120" s="16"/>
      <x:c r="AB120" s="16"/>
      <x:c r="AC120" s="16"/>
      <x:c r="AD120" s="16"/>
      <x:c r="AE120" s="16"/>
      <x:c r="AF120" s="16"/>
      <x:c r="AG120" s="16"/>
      <x:c r="AH120" s="16"/>
      <x:c r="AI120" s="16"/>
      <x:c r="AJ120" s="16"/>
      <x:c r="AK120" s="16"/>
      <x:c r="AL120" s="16"/>
      <x:c r="AM120" s="16"/>
      <x:c r="AN120" s="16"/>
      <x:c r="AO120" s="16"/>
      <x:c r="AP120" s="16"/>
      <x:c r="AQ120" s="16"/>
      <x:c r="AR120" s="16"/>
      <x:c r="AS120" s="16"/>
      <x:c r="AT120" s="20"/>
      <x:c r="AU120" s="16"/>
      <x:c r="AV120" s="16"/>
      <x:c r="AW120" s="16" t="str">
        <x:v>pending</x:v>
      </x:c>
      <x:c r="AX120" s="17" t="str">
        <x:v>blocked_not_validated</x:v>
      </x:c>
      <x:c r="AY120" s="18" t="str">
        <x:f>IF(OR(C120="yes",X120="corrected",COUNTIF(Z120:AL120,"major")&gt;0,COUNTIF(Z120:AL120,"blocker")&gt;0,OR(AO120="repair",AO120="segment",AO120="replace",AO120="block")),"yes","no")</x:f>
        <x:v>no</x:v>
      </x:c>
      <x:c r="AZ120" s="18" t="str">
        <x:f>IF(AND(V120="reviewed",W120&gt;=1,X120&lt;&gt;"",Y120&lt;&gt;"",COUNTA(Z120:AL120)=13,AM120&lt;&gt;"",AN120&lt;&gt;"",AO120&lt;&gt;"",AP120&lt;&gt;"",AQ120&lt;&gt;"",AR120&lt;&gt;"",AS120="I_listened_at_1x_and_completed_all_required_fields",AT120&lt;&gt;"",AW120="adjudicated",OR(AY120="no",AND(AU120&lt;&gt;"",AV120&lt;&gt;""))),"complete","incomplete")</x:f>
        <x:v>incomplete</x:v>
      </x:c>
      <x:c r="BA120" s="18" t="str">
        <x:f>IF(AZ120="complete","none","faltan campos humanos, adjudicación o segunda revisión")</x:f>
        <x:v>faltan campos humanos, adjudicación o segunda revisión</x:v>
      </x:c>
    </x:row>
    <x:row r="121" ht="36" customHeight="1">
      <x:c r="A121" s="15" t="n">
        <x:v>120</x:v>
      </x:c>
      <x:c r="B121" s="15" t="str">
        <x:v>P1-CHOOSE</x:v>
      </x:c>
      <x:c r="C121" s="15" t="str">
        <x:v>no</x:v>
      </x:c>
      <x:c r="D121" s="15" t="str">
        <x:v>asset:toefl:set-14:part-5:listen-choose-2</x:v>
      </x:c>
      <x:c r="E121" s="15" t="str">
        <x:v>set-14</x:v>
      </x:c>
      <x:c r="F121" s="15" t="str">
        <x:v>Listen and Choose a Response</x:v>
      </x:c>
      <x:c r="G121" s="15" t="str">
        <x:v>/Users/josedavidduartesilva/Developer/idiomaswl/public/audio/toefl/set-14/listen-choose-2.mp3</x:v>
      </x:c>
      <x:c r="H121" s="19" t="n">
        <x:v>3.14</x:v>
      </x:c>
      <x:c r="I121" s="15" t="str">
        <x:v>P1</x:v>
      </x:c>
      <x:c r="J121" s="15" t="str">
        <x:v>100_percent_required_T08</x:v>
      </x:c>
      <x:c r="K121" s="15" t="str">
        <x:v>pass_automated_T06</x:v>
      </x:c>
      <x:c r="L121" s="15" t="str">
        <x:v>none</x:v>
      </x:c>
      <x:c r="M121" s="15" t="str">
        <x:v>none</x:v>
      </x:c>
      <x:c r="N121" s="15" t="str">
        <x:v>conserve_source_technical_candidate</x:v>
      </x:c>
      <x:c r="O121" s="15" t="str">
        <x:v>asr_candidate_recovered_pending_human</x:v>
      </x:c>
      <x:c r="P121" s="15" t="str">
        <x:v>LING-SOURCE-001;LING-STRESS-001</x:v>
      </x:c>
      <x:c r="Q121" s="15" t="str"/>
      <x:c r="R121" s="15" t="str">
        <x:v>Would you mind checking my essay before I hand it in?</x:v>
      </x:c>
      <x:c r="S121" s="15" t="str">
        <x:v>no_source_candidate</x:v>
      </x:c>
      <x:c r="T121" s="15" t="str">
        <x:v>manual_exchange_review_pass_pending_T08</x:v>
      </x:c>
      <x:c r="U121" s="15" t="str">
        <x:v>B_transcript_adjudication_candidate</x:v>
      </x:c>
      <x:c r="V121" s="16" t="str">
        <x:v>not_started</x:v>
      </x:c>
      <x:c r="W121" s="16"/>
      <x:c r="X121" s="16"/>
      <x:c r="Y121" s="16"/>
      <x:c r="Z121" s="16"/>
      <x:c r="AA121" s="16"/>
      <x:c r="AB121" s="16"/>
      <x:c r="AC121" s="16"/>
      <x:c r="AD121" s="16"/>
      <x:c r="AE121" s="16"/>
      <x:c r="AF121" s="16"/>
      <x:c r="AG121" s="16"/>
      <x:c r="AH121" s="16"/>
      <x:c r="AI121" s="16"/>
      <x:c r="AJ121" s="16"/>
      <x:c r="AK121" s="16"/>
      <x:c r="AL121" s="16"/>
      <x:c r="AM121" s="16"/>
      <x:c r="AN121" s="16"/>
      <x:c r="AO121" s="16"/>
      <x:c r="AP121" s="16"/>
      <x:c r="AQ121" s="16"/>
      <x:c r="AR121" s="16"/>
      <x:c r="AS121" s="16"/>
      <x:c r="AT121" s="20"/>
      <x:c r="AU121" s="16"/>
      <x:c r="AV121" s="16"/>
      <x:c r="AW121" s="16" t="str">
        <x:v>pending</x:v>
      </x:c>
      <x:c r="AX121" s="17" t="str">
        <x:v>blocked_not_validated</x:v>
      </x:c>
      <x:c r="AY121" s="18" t="str">
        <x:f>IF(OR(C121="yes",X121="corrected",COUNTIF(Z121:AL121,"major")&gt;0,COUNTIF(Z121:AL121,"blocker")&gt;0,OR(AO121="repair",AO121="segment",AO121="replace",AO121="block")),"yes","no")</x:f>
        <x:v>no</x:v>
      </x:c>
      <x:c r="AZ121" s="18" t="str">
        <x:f>IF(AND(V121="reviewed",W121&gt;=1,X121&lt;&gt;"",Y121&lt;&gt;"",COUNTA(Z121:AL121)=13,AM121&lt;&gt;"",AN121&lt;&gt;"",AO121&lt;&gt;"",AP121&lt;&gt;"",AQ121&lt;&gt;"",AR121&lt;&gt;"",AS121="I_listened_at_1x_and_completed_all_required_fields",AT121&lt;&gt;"",AW121="adjudicated",OR(AY121="no",AND(AU121&lt;&gt;"",AV121&lt;&gt;""))),"complete","incomplete")</x:f>
        <x:v>incomplete</x:v>
      </x:c>
      <x:c r="BA121" s="18" t="str">
        <x:f>IF(AZ121="complete","none","faltan campos humanos, adjudicación o segunda revisión")</x:f>
        <x:v>faltan campos humanos, adjudicación o segunda revisión</x:v>
      </x:c>
    </x:row>
    <x:row r="122" ht="36" customHeight="1">
      <x:c r="A122" s="15" t="n">
        <x:v>121</x:v>
      </x:c>
      <x:c r="B122" s="15" t="str">
        <x:v>P1-CHOOSE</x:v>
      </x:c>
      <x:c r="C122" s="15" t="str">
        <x:v>no</x:v>
      </x:c>
      <x:c r="D122" s="15" t="str">
        <x:v>asset:toefl:set-14:part-5:listen-choose-3</x:v>
      </x:c>
      <x:c r="E122" s="15" t="str">
        <x:v>set-14</x:v>
      </x:c>
      <x:c r="F122" s="15" t="str">
        <x:v>Listen and Choose a Response</x:v>
      </x:c>
      <x:c r="G122" s="15" t="str">
        <x:v>/Users/josedavidduartesilva/Developer/idiomaswl/public/audio/toefl/set-14/listen-choose-3.mp3</x:v>
      </x:c>
      <x:c r="H122" s="19" t="n">
        <x:v>3.62</x:v>
      </x:c>
      <x:c r="I122" s="15" t="str">
        <x:v>P1</x:v>
      </x:c>
      <x:c r="J122" s="15" t="str">
        <x:v>100_percent_required_T08</x:v>
      </x:c>
      <x:c r="K122" s="15" t="str">
        <x:v>pass_automated_T06</x:v>
      </x:c>
      <x:c r="L122" s="15" t="str">
        <x:v>none</x:v>
      </x:c>
      <x:c r="M122" s="15" t="str">
        <x:v>none</x:v>
      </x:c>
      <x:c r="N122" s="15" t="str">
        <x:v>conserve_source_technical_candidate</x:v>
      </x:c>
      <x:c r="O122" s="15" t="str">
        <x:v>asr_candidate_recovered_pending_human</x:v>
      </x:c>
      <x:c r="P122" s="15" t="str">
        <x:v>LING-SOURCE-001;LING-STRESS-001</x:v>
      </x:c>
      <x:c r="Q122" s="15" t="str"/>
      <x:c r="R122" s="15" t="str">
        <x:v>I'm really stuck on this assignment. How can I get some help with it?</x:v>
      </x:c>
      <x:c r="S122" s="15" t="str">
        <x:v>no_source_candidate</x:v>
      </x:c>
      <x:c r="T122" s="15" t="str">
        <x:v>manual_exchange_review_pass_pending_T08</x:v>
      </x:c>
      <x:c r="U122" s="15" t="str">
        <x:v>B_transcript_adjudication_candidate</x:v>
      </x:c>
      <x:c r="V122" s="16" t="str">
        <x:v>not_started</x:v>
      </x:c>
      <x:c r="W122" s="16"/>
      <x:c r="X122" s="16"/>
      <x:c r="Y122" s="16"/>
      <x:c r="Z122" s="16"/>
      <x:c r="AA122" s="16"/>
      <x:c r="AB122" s="16"/>
      <x:c r="AC122" s="16"/>
      <x:c r="AD122" s="16"/>
      <x:c r="AE122" s="16"/>
      <x:c r="AF122" s="16"/>
      <x:c r="AG122" s="16"/>
      <x:c r="AH122" s="16"/>
      <x:c r="AI122" s="16"/>
      <x:c r="AJ122" s="16"/>
      <x:c r="AK122" s="16"/>
      <x:c r="AL122" s="16"/>
      <x:c r="AM122" s="16"/>
      <x:c r="AN122" s="16"/>
      <x:c r="AO122" s="16"/>
      <x:c r="AP122" s="16"/>
      <x:c r="AQ122" s="16"/>
      <x:c r="AR122" s="16"/>
      <x:c r="AS122" s="16"/>
      <x:c r="AT122" s="20"/>
      <x:c r="AU122" s="16"/>
      <x:c r="AV122" s="16"/>
      <x:c r="AW122" s="16" t="str">
        <x:v>pending</x:v>
      </x:c>
      <x:c r="AX122" s="17" t="str">
        <x:v>blocked_not_validated</x:v>
      </x:c>
      <x:c r="AY122" s="18" t="str">
        <x:f>IF(OR(C122="yes",X122="corrected",COUNTIF(Z122:AL122,"major")&gt;0,COUNTIF(Z122:AL122,"blocker")&gt;0,OR(AO122="repair",AO122="segment",AO122="replace",AO122="block")),"yes","no")</x:f>
        <x:v>no</x:v>
      </x:c>
      <x:c r="AZ122" s="18" t="str">
        <x:f>IF(AND(V122="reviewed",W122&gt;=1,X122&lt;&gt;"",Y122&lt;&gt;"",COUNTA(Z122:AL122)=13,AM122&lt;&gt;"",AN122&lt;&gt;"",AO122&lt;&gt;"",AP122&lt;&gt;"",AQ122&lt;&gt;"",AR122&lt;&gt;"",AS122="I_listened_at_1x_and_completed_all_required_fields",AT122&lt;&gt;"",AW122="adjudicated",OR(AY122="no",AND(AU122&lt;&gt;"",AV122&lt;&gt;""))),"complete","incomplete")</x:f>
        <x:v>incomplete</x:v>
      </x:c>
      <x:c r="BA122" s="18" t="str">
        <x:f>IF(AZ122="complete","none","faltan campos humanos, adjudicación o segunda revisión")</x:f>
        <x:v>faltan campos humanos, adjudicación o segunda revisión</x:v>
      </x:c>
    </x:row>
    <x:row r="123" ht="36" customHeight="1">
      <x:c r="A123" s="15" t="n">
        <x:v>122</x:v>
      </x:c>
      <x:c r="B123" s="15" t="str">
        <x:v>P1-CHOOSE</x:v>
      </x:c>
      <x:c r="C123" s="15" t="str">
        <x:v>no</x:v>
      </x:c>
      <x:c r="D123" s="15" t="str">
        <x:v>asset:toefl:set-14:part-5:listen-choose-4</x:v>
      </x:c>
      <x:c r="E123" s="15" t="str">
        <x:v>set-14</x:v>
      </x:c>
      <x:c r="F123" s="15" t="str">
        <x:v>Listen and Choose a Response</x:v>
      </x:c>
      <x:c r="G123" s="15" t="str">
        <x:v>/Users/josedavidduartesilva/Developer/idiomaswl/public/audio/toefl/set-14/listen-choose-4.mp3</x:v>
      </x:c>
      <x:c r="H123" s="19" t="n">
        <x:v>4.74</x:v>
      </x:c>
      <x:c r="I123" s="15" t="str">
        <x:v>P1</x:v>
      </x:c>
      <x:c r="J123" s="15" t="str">
        <x:v>100_percent_required_T08</x:v>
      </x:c>
      <x:c r="K123" s="15" t="str">
        <x:v>pass_automated_T06</x:v>
      </x:c>
      <x:c r="L123" s="15" t="str">
        <x:v>none</x:v>
      </x:c>
      <x:c r="M123" s="15" t="str">
        <x:v>none</x:v>
      </x:c>
      <x:c r="N123" s="15" t="str">
        <x:v>conserve_source_technical_candidate</x:v>
      </x:c>
      <x:c r="O123" s="15" t="str">
        <x:v>asr_candidate_recovered_pending_human</x:v>
      </x:c>
      <x:c r="P123" s="15" t="str">
        <x:v>LING-SOURCE-001;LING-STRESS-001</x:v>
      </x:c>
      <x:c r="Q123" s="15" t="str"/>
      <x:c r="R123" s="15" t="str">
        <x:v>I'm sorry, but I can't make our meeting on Tuesday. Could we move it to another day?</x:v>
      </x:c>
      <x:c r="S123" s="15" t="str">
        <x:v>no_source_candidate</x:v>
      </x:c>
      <x:c r="T123" s="15" t="str">
        <x:v>manual_exchange_review_pass_pending_T08</x:v>
      </x:c>
      <x:c r="U123" s="15" t="str">
        <x:v>B_transcript_adjudication_candidate</x:v>
      </x:c>
      <x:c r="V123" s="16" t="str">
        <x:v>not_started</x:v>
      </x:c>
      <x:c r="W123" s="16"/>
      <x:c r="X123" s="16"/>
      <x:c r="Y123" s="16"/>
      <x:c r="Z123" s="16"/>
      <x:c r="AA123" s="16"/>
      <x:c r="AB123" s="16"/>
      <x:c r="AC123" s="16"/>
      <x:c r="AD123" s="16"/>
      <x:c r="AE123" s="16"/>
      <x:c r="AF123" s="16"/>
      <x:c r="AG123" s="16"/>
      <x:c r="AH123" s="16"/>
      <x:c r="AI123" s="16"/>
      <x:c r="AJ123" s="16"/>
      <x:c r="AK123" s="16"/>
      <x:c r="AL123" s="16"/>
      <x:c r="AM123" s="16"/>
      <x:c r="AN123" s="16"/>
      <x:c r="AO123" s="16"/>
      <x:c r="AP123" s="16"/>
      <x:c r="AQ123" s="16"/>
      <x:c r="AR123" s="16"/>
      <x:c r="AS123" s="16"/>
      <x:c r="AT123" s="20"/>
      <x:c r="AU123" s="16"/>
      <x:c r="AV123" s="16"/>
      <x:c r="AW123" s="16" t="str">
        <x:v>pending</x:v>
      </x:c>
      <x:c r="AX123" s="17" t="str">
        <x:v>blocked_not_validated</x:v>
      </x:c>
      <x:c r="AY123" s="18" t="str">
        <x:f>IF(OR(C123="yes",X123="corrected",COUNTIF(Z123:AL123,"major")&gt;0,COUNTIF(Z123:AL123,"blocker")&gt;0,OR(AO123="repair",AO123="segment",AO123="replace",AO123="block")),"yes","no")</x:f>
        <x:v>no</x:v>
      </x:c>
      <x:c r="AZ123" s="18" t="str">
        <x:f>IF(AND(V123="reviewed",W123&gt;=1,X123&lt;&gt;"",Y123&lt;&gt;"",COUNTA(Z123:AL123)=13,AM123&lt;&gt;"",AN123&lt;&gt;"",AO123&lt;&gt;"",AP123&lt;&gt;"",AQ123&lt;&gt;"",AR123&lt;&gt;"",AS123="I_listened_at_1x_and_completed_all_required_fields",AT123&lt;&gt;"",AW123="adjudicated",OR(AY123="no",AND(AU123&lt;&gt;"",AV123&lt;&gt;""))),"complete","incomplete")</x:f>
        <x:v>incomplete</x:v>
      </x:c>
      <x:c r="BA123" s="18" t="str">
        <x:f>IF(AZ123="complete","none","faltan campos humanos, adjudicación o segunda revisión")</x:f>
        <x:v>faltan campos humanos, adjudicación o segunda revisión</x:v>
      </x:c>
    </x:row>
    <x:row r="124" ht="36" customHeight="1">
      <x:c r="A124" s="15" t="n">
        <x:v>123</x:v>
      </x:c>
      <x:c r="B124" s="15" t="str">
        <x:v>P1-CHOOSE</x:v>
      </x:c>
      <x:c r="C124" s="15" t="str">
        <x:v>no</x:v>
      </x:c>
      <x:c r="D124" s="15" t="str">
        <x:v>asset:toefl:set-14:part-5:listen-choose-5</x:v>
      </x:c>
      <x:c r="E124" s="15" t="str">
        <x:v>set-14</x:v>
      </x:c>
      <x:c r="F124" s="15" t="str">
        <x:v>Listen and Choose a Response</x:v>
      </x:c>
      <x:c r="G124" s="15" t="str">
        <x:v>/Users/josedavidduartesilva/Developer/idiomaswl/public/audio/toefl/set-14/listen-choose-5.mp3</x:v>
      </x:c>
      <x:c r="H124" s="19" t="n">
        <x:v>3.06</x:v>
      </x:c>
      <x:c r="I124" s="15" t="str">
        <x:v>P1</x:v>
      </x:c>
      <x:c r="J124" s="15" t="str">
        <x:v>100_percent_required_T08</x:v>
      </x:c>
      <x:c r="K124" s="15" t="str">
        <x:v>pass_automated_T06</x:v>
      </x:c>
      <x:c r="L124" s="15" t="str">
        <x:v>none</x:v>
      </x:c>
      <x:c r="M124" s="15" t="str">
        <x:v>none</x:v>
      </x:c>
      <x:c r="N124" s="15" t="str">
        <x:v>conserve_source_technical_candidate</x:v>
      </x:c>
      <x:c r="O124" s="15" t="str">
        <x:v>asr_candidate_recovered_pending_human</x:v>
      </x:c>
      <x:c r="P124" s="15" t="str">
        <x:v>LING-SOURCE-001;LING-STRESS-001</x:v>
      </x:c>
      <x:c r="Q124" s="15" t="str"/>
      <x:c r="R124" s="15" t="str">
        <x:v>You look thrilled today. Did something good happen?</x:v>
      </x:c>
      <x:c r="S124" s="15" t="str">
        <x:v>no_source_candidate</x:v>
      </x:c>
      <x:c r="T124" s="15" t="str">
        <x:v>manual_exchange_review_pass_pending_T08</x:v>
      </x:c>
      <x:c r="U124" s="15" t="str">
        <x:v>B_transcript_adjudication_candidate</x:v>
      </x:c>
      <x:c r="V124" s="16" t="str">
        <x:v>not_started</x:v>
      </x:c>
      <x:c r="W124" s="16"/>
      <x:c r="X124" s="16"/>
      <x:c r="Y124" s="16"/>
      <x:c r="Z124" s="16"/>
      <x:c r="AA124" s="16"/>
      <x:c r="AB124" s="16"/>
      <x:c r="AC124" s="16"/>
      <x:c r="AD124" s="16"/>
      <x:c r="AE124" s="16"/>
      <x:c r="AF124" s="16"/>
      <x:c r="AG124" s="16"/>
      <x:c r="AH124" s="16"/>
      <x:c r="AI124" s="16"/>
      <x:c r="AJ124" s="16"/>
      <x:c r="AK124" s="16"/>
      <x:c r="AL124" s="16"/>
      <x:c r="AM124" s="16"/>
      <x:c r="AN124" s="16"/>
      <x:c r="AO124" s="16"/>
      <x:c r="AP124" s="16"/>
      <x:c r="AQ124" s="16"/>
      <x:c r="AR124" s="16"/>
      <x:c r="AS124" s="16"/>
      <x:c r="AT124" s="20"/>
      <x:c r="AU124" s="16"/>
      <x:c r="AV124" s="16"/>
      <x:c r="AW124" s="16" t="str">
        <x:v>pending</x:v>
      </x:c>
      <x:c r="AX124" s="17" t="str">
        <x:v>blocked_not_validated</x:v>
      </x:c>
      <x:c r="AY124" s="18" t="str">
        <x:f>IF(OR(C124="yes",X124="corrected",COUNTIF(Z124:AL124,"major")&gt;0,COUNTIF(Z124:AL124,"blocker")&gt;0,OR(AO124="repair",AO124="segment",AO124="replace",AO124="block")),"yes","no")</x:f>
        <x:v>no</x:v>
      </x:c>
      <x:c r="AZ124" s="18" t="str">
        <x:f>IF(AND(V124="reviewed",W124&gt;=1,X124&lt;&gt;"",Y124&lt;&gt;"",COUNTA(Z124:AL124)=13,AM124&lt;&gt;"",AN124&lt;&gt;"",AO124&lt;&gt;"",AP124&lt;&gt;"",AQ124&lt;&gt;"",AR124&lt;&gt;"",AS124="I_listened_at_1x_and_completed_all_required_fields",AT124&lt;&gt;"",AW124="adjudicated",OR(AY124="no",AND(AU124&lt;&gt;"",AV124&lt;&gt;""))),"complete","incomplete")</x:f>
        <x:v>incomplete</x:v>
      </x:c>
      <x:c r="BA124" s="18" t="str">
        <x:f>IF(AZ124="complete","none","faltan campos humanos, adjudicación o segunda revisión")</x:f>
        <x:v>faltan campos humanos, adjudicación o segunda revisión</x:v>
      </x:c>
    </x:row>
    <x:row r="125" ht="36" customHeight="1">
      <x:c r="A125" s="15" t="n">
        <x:v>124</x:v>
      </x:c>
      <x:c r="B125" s="15" t="str">
        <x:v>P1-LONG</x:v>
      </x:c>
      <x:c r="C125" s="15" t="str">
        <x:v>no</x:v>
      </x:c>
      <x:c r="D125" s="15" t="str">
        <x:v>asset:toefl:set-14:part-6:conversation</x:v>
      </x:c>
      <x:c r="E125" s="15" t="str">
        <x:v>set-14</x:v>
      </x:c>
      <x:c r="F125" s="15" t="str">
        <x:v>Listen to a Conversation</x:v>
      </x:c>
      <x:c r="G125" s="15" t="str">
        <x:v>/Users/josedavidduartesilva/Developer/idiomaswl/public/audio/toefl/set-14/conversation.mp3</x:v>
      </x:c>
      <x:c r="H125" s="19" t="n">
        <x:v>80.8</x:v>
      </x:c>
      <x:c r="I125" s="15" t="str">
        <x:v>P1</x:v>
      </x:c>
      <x:c r="J125" s="15" t="str">
        <x:v>100_percent_required_T08_T15</x:v>
      </x:c>
      <x:c r="K125" s="15" t="str">
        <x:v>pass_with_actionable_warning</x:v>
      </x:c>
      <x:c r="L125" s="15" t="str">
        <x:v>none</x:v>
      </x:c>
      <x:c r="M125" s="15" t="str">
        <x:v>TECH-PEAK-003</x:v>
      </x:c>
      <x:c r="N125" s="15" t="str">
        <x:v>review_warning_in_T08_before_conserve</x:v>
      </x:c>
      <x:c r="O125" s="15" t="str">
        <x:v>source_exact_normalized_supported_pending_human</x:v>
      </x:c>
      <x:c r="P125" s="15" t="str">
        <x:v>LING-LEN-001</x:v>
      </x:c>
      <x:c r="Q125" s="15" t="str">
        <x:v>STUDENT: Hi, I'm interested in doing a semester abroad next year, but I don't really know where to start.
STAFF: You've come to the right place — this is the study-abroad office. Do you have a particular country or region in mind?
STUDENT: Not exactly. I'm studying engineering, so I want somewhere with strong engineering programs, but I'd also love to improve my Spanish.
STAFF: That's a helpful combination to know. We have partner universities in Spain, Mexico, and Chile that offer engineering courses, some taught in English and some in Spanish. If improving your Spanish is a goal, immersion in a Spanish-speaking country would be ideal.
STUDENT: That sounds perfect. But I'm worried about the cost. Study abroad seems expensive.
STAFF: It can be, but it's often less than people expect. You continue to pay your regular tuition here, not the host university's fees. And there are scholarships specifically for study abroad — I'd strongly encourage you to apply. The main extra costs are usually flights and living expenses, which vary a lot by country.
STUDENT: Okay, that's reassuring. What's my next step?
STAFF: I'd suggest attending our information session next Tuesday, where past participants share their experiences. After that, book a one-on-one meeting with an advisor to plan which courses would transfer back to your degree. That's the key thing to sort out early.</x:v>
      </x:c>
      <x:c r="R125" s="15" t="str">
        <x:v>Hi, I'm interested in doing a semester abroad next year, but I don't really know where to start. You've come to the right place. This is the study abroad office. Do you have a particular country or region in mind? Not exactly. I'm studying engineering, so I want somewhere with strong engineering programs, but I'd also love to improve my Spanish. That's a helpful combination to know. We have partner universities in Spain, Mexico and Chile that offer engineering courses. some taught in English and some in Spanish. If improving your Spanish is a goal, immersion in a Spanish-speaking country would be ideal. That sounds perfect, but I'm worried about the cost. Study abroad seems expensive. It can be, but it's often less than people expect. You continue to pay your regular tuition here, not the host university's fees. And there are scholarships specifically for study abroad I'd strongly encourage you to apply. The main extra costs are usually flights and living expenses, which vary a lot by country. Okay, that's reassuring. What's my next step? I'd suggest attending our information session next Tuesday, where past participants share their experiences. After that, book a one-on-one meeting with an advisor to plan which courses would transfer back to your degree. That's the key thing to sort out early.</x:v>
      </x:c>
      <x:c r="S125" s="15" t="str">
        <x:v>none</x:v>
      </x:c>
      <x:c r="T125" s="15" t="str">
        <x:v>source_contract_preserved_subject_to_T08</x:v>
      </x:c>
      <x:c r="U125" s="15" t="str">
        <x:v>C_linguistic_segment_or_reframe_candidate</x:v>
      </x:c>
      <x:c r="V125" s="16" t="str">
        <x:v>not_started</x:v>
      </x:c>
      <x:c r="W125" s="16"/>
      <x:c r="X125" s="16"/>
      <x:c r="Y125" s="16"/>
      <x:c r="Z125" s="16"/>
      <x:c r="AA125" s="16"/>
      <x:c r="AB125" s="16"/>
      <x:c r="AC125" s="16"/>
      <x:c r="AD125" s="16"/>
      <x:c r="AE125" s="16"/>
      <x:c r="AF125" s="16"/>
      <x:c r="AG125" s="16"/>
      <x:c r="AH125" s="16"/>
      <x:c r="AI125" s="16"/>
      <x:c r="AJ125" s="16"/>
      <x:c r="AK125" s="16"/>
      <x:c r="AL125" s="16"/>
      <x:c r="AM125" s="16"/>
      <x:c r="AN125" s="16"/>
      <x:c r="AO125" s="16"/>
      <x:c r="AP125" s="16"/>
      <x:c r="AQ125" s="16"/>
      <x:c r="AR125" s="16"/>
      <x:c r="AS125" s="16"/>
      <x:c r="AT125" s="20"/>
      <x:c r="AU125" s="16"/>
      <x:c r="AV125" s="16"/>
      <x:c r="AW125" s="16" t="str">
        <x:v>pending</x:v>
      </x:c>
      <x:c r="AX125" s="17" t="str">
        <x:v>blocked_not_validated</x:v>
      </x:c>
      <x:c r="AY125" s="18" t="str">
        <x:f>IF(OR(C125="yes",X125="corrected",COUNTIF(Z125:AL125,"major")&gt;0,COUNTIF(Z125:AL125,"blocker")&gt;0,OR(AO125="repair",AO125="segment",AO125="replace",AO125="block")),"yes","no")</x:f>
        <x:v>no</x:v>
      </x:c>
      <x:c r="AZ125" s="18" t="str">
        <x:f>IF(AND(V125="reviewed",W125&gt;=1,X125&lt;&gt;"",Y125&lt;&gt;"",COUNTA(Z125:AL125)=13,AM125&lt;&gt;"",AN125&lt;&gt;"",AO125&lt;&gt;"",AP125&lt;&gt;"",AQ125&lt;&gt;"",AR125&lt;&gt;"",AS125="I_listened_at_1x_and_completed_all_required_fields",AT125&lt;&gt;"",AW125="adjudicated",OR(AY125="no",AND(AU125&lt;&gt;"",AV125&lt;&gt;""))),"complete","incomplete")</x:f>
        <x:v>incomplete</x:v>
      </x:c>
      <x:c r="BA125" s="18" t="str">
        <x:f>IF(AZ125="complete","none","faltan campos humanos, adjudicación o segunda revisión")</x:f>
        <x:v>faltan campos humanos, adjudicación o segunda revisión</x:v>
      </x:c>
    </x:row>
    <x:row r="126" ht="36" customHeight="1">
      <x:c r="A126" s="15" t="n">
        <x:v>125</x:v>
      </x:c>
      <x:c r="B126" s="15" t="str">
        <x:v>P1-LONG</x:v>
      </x:c>
      <x:c r="C126" s="15" t="str">
        <x:v>no</x:v>
      </x:c>
      <x:c r="D126" s="15" t="str">
        <x:v>asset:toefl:set-14:part-7:announcement</x:v>
      </x:c>
      <x:c r="E126" s="15" t="str">
        <x:v>set-14</x:v>
      </x:c>
      <x:c r="F126" s="15" t="str">
        <x:v>Listen to an Announcement</x:v>
      </x:c>
      <x:c r="G126" s="15" t="str">
        <x:v>/Users/josedavidduartesilva/Developer/idiomaswl/public/audio/toefl/set-14/announcement.mp3</x:v>
      </x:c>
      <x:c r="H126" s="19" t="n">
        <x:v>37.3</x:v>
      </x:c>
      <x:c r="I126" s="15" t="str">
        <x:v>P1</x:v>
      </x:c>
      <x:c r="J126" s="15" t="str">
        <x:v>100_percent_required_T08_T15</x:v>
      </x:c>
      <x:c r="K126" s="15" t="str">
        <x:v>pass_automated_T06</x:v>
      </x:c>
      <x:c r="L126" s="15" t="str">
        <x:v>none</x:v>
      </x:c>
      <x:c r="M126" s="15" t="str">
        <x:v>none</x:v>
      </x:c>
      <x:c r="N126" s="15" t="str">
        <x:v>conserve_source_technical_candidate</x:v>
      </x:c>
      <x:c r="O126" s="15" t="str">
        <x:v>source_minor_diff_supported_pending_human</x:v>
      </x:c>
      <x:c r="P126" s="15" t="str">
        <x:v>LING-DIFF-001;LING-LEN-001</x:v>
      </x:c>
      <x:c r="Q126" s="15" t="str">
        <x:v>Attention, shoppers. The store will be closing in thirty minutes, at nine p.m. Please bring your final selections to the checkout counters, which will remain open until closing time. 
We would also like to remind you about our loyalty program. Members earn one point for every dollar spent, and points can be exchanged for discounts on future purchases. Signing up is free and takes only a minute at customer service near the main entrance. This weekend only, new members will receive a bonus of five hundred points — enough for a five-dollar discount on your next visit. 
Thank you for shopping with us this evening. We hope to see you again soon, and we wish you a pleasant evening.</x:v>
      </x:c>
      <x:c r="R126" s="15" t="str">
        <x:v>Attention shoppers! The store will be closing in 30 minutes at 9pm. Please bring your final selections to the checkout counters, which will remain open until closing time. We would also like to remind you about our loyalty program. Members earn one point for every dollar spent, and points can be exchanged for discounts on future purchases. Signing up is free and takes only a minute at customer service near the main entrance. This weekend only, new members will receive a bonus of 500 points. Enough for a $5 discount on your next visit. Thank you for shopping with us this evening. We hope to see you again soon, and we wish you a pleasant evening.</x:v>
      </x:c>
      <x:c r="S126" s="15" t="str">
        <x:v>D:p | S:m→pm</x:v>
      </x:c>
      <x:c r="T126" s="15" t="str">
        <x:v>source_contract_preserved_subject_to_T08</x:v>
      </x:c>
      <x:c r="U126" s="15" t="str">
        <x:v>C_linguistic_segment_or_reframe_candidate</x:v>
      </x:c>
      <x:c r="V126" s="16" t="str">
        <x:v>not_started</x:v>
      </x:c>
      <x:c r="W126" s="16"/>
      <x:c r="X126" s="16"/>
      <x:c r="Y126" s="16"/>
      <x:c r="Z126" s="16"/>
      <x:c r="AA126" s="16"/>
      <x:c r="AB126" s="16"/>
      <x:c r="AC126" s="16"/>
      <x:c r="AD126" s="16"/>
      <x:c r="AE126" s="16"/>
      <x:c r="AF126" s="16"/>
      <x:c r="AG126" s="16"/>
      <x:c r="AH126" s="16"/>
      <x:c r="AI126" s="16"/>
      <x:c r="AJ126" s="16"/>
      <x:c r="AK126" s="16"/>
      <x:c r="AL126" s="16"/>
      <x:c r="AM126" s="16"/>
      <x:c r="AN126" s="16"/>
      <x:c r="AO126" s="16"/>
      <x:c r="AP126" s="16"/>
      <x:c r="AQ126" s="16"/>
      <x:c r="AR126" s="16"/>
      <x:c r="AS126" s="16"/>
      <x:c r="AT126" s="20"/>
      <x:c r="AU126" s="16"/>
      <x:c r="AV126" s="16"/>
      <x:c r="AW126" s="16" t="str">
        <x:v>pending</x:v>
      </x:c>
      <x:c r="AX126" s="17" t="str">
        <x:v>blocked_not_validated</x:v>
      </x:c>
      <x:c r="AY126" s="18" t="str">
        <x:f>IF(OR(C126="yes",X126="corrected",COUNTIF(Z126:AL126,"major")&gt;0,COUNTIF(Z126:AL126,"blocker")&gt;0,OR(AO126="repair",AO126="segment",AO126="replace",AO126="block")),"yes","no")</x:f>
        <x:v>no</x:v>
      </x:c>
      <x:c r="AZ126" s="18" t="str">
        <x:f>IF(AND(V126="reviewed",W126&gt;=1,X126&lt;&gt;"",Y126&lt;&gt;"",COUNTA(Z126:AL126)=13,AM126&lt;&gt;"",AN126&lt;&gt;"",AO126&lt;&gt;"",AP126&lt;&gt;"",AQ126&lt;&gt;"",AR126&lt;&gt;"",AS126="I_listened_at_1x_and_completed_all_required_fields",AT126&lt;&gt;"",AW126="adjudicated",OR(AY126="no",AND(AU126&lt;&gt;"",AV126&lt;&gt;""))),"complete","incomplete")</x:f>
        <x:v>incomplete</x:v>
      </x:c>
      <x:c r="BA126" s="18" t="str">
        <x:f>IF(AZ126="complete","none","faltan campos humanos, adjudicación o segunda revisión")</x:f>
        <x:v>faltan campos humanos, adjudicación o segunda revisión</x:v>
      </x:c>
    </x:row>
    <x:row r="127" ht="36" customHeight="1">
      <x:c r="A127" s="15" t="n">
        <x:v>126</x:v>
      </x:c>
      <x:c r="B127" s="15" t="str">
        <x:v>P1-LONG</x:v>
      </x:c>
      <x:c r="C127" s="15" t="str">
        <x:v>no</x:v>
      </x:c>
      <x:c r="D127" s="15" t="str">
        <x:v>asset:toefl:set-14:part-8:academic-talk</x:v>
      </x:c>
      <x:c r="E127" s="15" t="str">
        <x:v>set-14</x:v>
      </x:c>
      <x:c r="F127" s="15" t="str">
        <x:v>Listen to an Academic Talk</x:v>
      </x:c>
      <x:c r="G127" s="15" t="str">
        <x:v>/Users/josedavidduartesilva/Developer/idiomaswl/public/audio/toefl/set-14/academic-talk.mp3</x:v>
      </x:c>
      <x:c r="H127" s="19" t="n">
        <x:v>128.18</x:v>
      </x:c>
      <x:c r="I127" s="15" t="str">
        <x:v>P1</x:v>
      </x:c>
      <x:c r="J127" s="15" t="str">
        <x:v>100_percent_required_T08_T15</x:v>
      </x:c>
      <x:c r="K127" s="15" t="str">
        <x:v>fail_actionable</x:v>
      </x:c>
      <x:c r="L127" s="15" t="str">
        <x:v>TECH-LDN-002</x:v>
      </x:c>
      <x:c r="M127" s="15" t="str">
        <x:v>none</x:v>
      </x:c>
      <x:c r="N127" s="15" t="str">
        <x:v>measure_gain_create_versioned_normalized_variant</x:v>
      </x:c>
      <x:c r="O127" s="15" t="str">
        <x:v>source_exact_normalized_supported_pending_human</x:v>
      </x:c>
      <x:c r="P127" s="15" t="str">
        <x:v>TECH-T06-FAIL;LING-LEN-002</x:v>
      </x:c>
      <x:c r="Q127" s="15" t="str">
        <x:v>PROFESSOR: Today's topic is one of the most successful stories in conservation: the recovery of a species that was once nearly extinct. I'm talking about the American bison. In the early nineteenth century, tens of millions of bison roamed North America. By the end of that century, fewer than a thousand remained. Understanding both how this collapse happened and how the species recovered teaches us a lot about conservation.
The collapse was astonishingly rapid, and it was almost entirely caused by humans. As settlers expanded westward, bison were hunted on an industrial scale — for their hides, for sport, and, in some cases, as a deliberate strategy to undermine Indigenous peoples who depended on them. Within a few decades, an animal that had numbered in the tens of millions was pushed to the brink of extinction. It's a stark example of how quickly human activity can devastate even a hugely abundant species.
The recovery is equally instructive. A small number of individuals — ranchers, conservationists, and some Indigenous communities — took action, protecting the last remaining animals and breeding them in protected areas. National parks such as Yellowstone became crucial refuges. Slowly, over more than a century, bison numbers climbed back into the hundreds of thousands, though most now live on ranches rather than roaming free.
But here's an important nuance the story teaches us. Saving a species from extinction in terms of raw numbers is not the same as restoring its ecological role. Bison once shaped entire grassland ecosystems — their grazing, their movement, even the way they wallowed in the dirt created habitats for other species. A few hundred thousand bison confined to ranches don't perform that ecological function the way tens of millions of free-roaming animals once did. So conservation success has layers: preventing extinction is the first, most urgent goal, but true restoration means bringing back not just the animal, but the role it played in its ecosystem.</x:v>
      </x:c>
      <x:c r="R127" s="15" t="str">
        <x:v>Today's topic is one of the most successful stories in conservation, the recovery of a species that was once nearly extinct. I'm talking about the American bison. In the early 19th century, tens of millions of bison roamed North America. By the end of that century, fewer than a thousand remained. Understanding both how this collapse happened and how the species recovered teaches us a lot about conservation. The collapse was astonishingly rapid, and it was almost entirely caused by humans. As settlers expanded westward, bison were hunted on an industrial scale, for their hides, for sport, and, in some cases, as a deliberate strategy to undermine indigenous peoples who depended on them. Within a few decades, an animal that had numbered in the tens of millions was pushed to the brink of extinction. It's a stark example of how quickly human activity can devastate even a hugely abundant species. The recovery is equally instructive. A small number of individuals, ranchers, conservationists, and some indigenous communities took action, protecting the last remaining animals and breeding them in protected areas. National parks such as Yellowstone became crucial refuges. Slowly, over more than a century, bison numbers climbed back into the hundreds of thousands, though most now live on ranches rather than roaming free. But here's an important nuance the story teaches us. Saving a species from extinction in terms of raw numbers is not the same as restoring its ecological role. Bison once shaped entire grassland ecosystems. Their grazing, their movement, even the way they wallowed in the dirt, created habitats for other species. A few hundred thousand bison confined to ranches don't perform that ecological function the way tens of millions of free roaming animals once did. So conservation success has layers. Preventing extinction is the first, most urgent goal. But true restoration means bringing back not just the animal, but the role it played in its ecosystem.</x:v>
      </x:c>
      <x:c r="S127" s="15" t="str">
        <x:v>none</x:v>
      </x:c>
      <x:c r="T127" s="15" t="str">
        <x:v>source_contract_preserved_subject_to_T08</x:v>
      </x:c>
      <x:c r="U127" s="15" t="str">
        <x:v>C_linguistic_segment_or_reframe_candidate</x:v>
      </x:c>
      <x:c r="V127" s="16" t="str">
        <x:v>not_started</x:v>
      </x:c>
      <x:c r="W127" s="16"/>
      <x:c r="X127" s="16"/>
      <x:c r="Y127" s="16"/>
      <x:c r="Z127" s="16"/>
      <x:c r="AA127" s="16"/>
      <x:c r="AB127" s="16"/>
      <x:c r="AC127" s="16"/>
      <x:c r="AD127" s="16"/>
      <x:c r="AE127" s="16"/>
      <x:c r="AF127" s="16"/>
      <x:c r="AG127" s="16"/>
      <x:c r="AH127" s="16"/>
      <x:c r="AI127" s="16"/>
      <x:c r="AJ127" s="16"/>
      <x:c r="AK127" s="16"/>
      <x:c r="AL127" s="16"/>
      <x:c r="AM127" s="16"/>
      <x:c r="AN127" s="16"/>
      <x:c r="AO127" s="16"/>
      <x:c r="AP127" s="16"/>
      <x:c r="AQ127" s="16"/>
      <x:c r="AR127" s="16"/>
      <x:c r="AS127" s="16"/>
      <x:c r="AT127" s="20"/>
      <x:c r="AU127" s="16"/>
      <x:c r="AV127" s="16"/>
      <x:c r="AW127" s="16" t="str">
        <x:v>pending</x:v>
      </x:c>
      <x:c r="AX127" s="17" t="str">
        <x:v>blocked_not_validated</x:v>
      </x:c>
      <x:c r="AY127" s="18" t="str">
        <x:f>IF(OR(C127="yes",X127="corrected",COUNTIF(Z127:AL127,"major")&gt;0,COUNTIF(Z127:AL127,"blocker")&gt;0,OR(AO127="repair",AO127="segment",AO127="replace",AO127="block")),"yes","no")</x:f>
        <x:v>no</x:v>
      </x:c>
      <x:c r="AZ127" s="18" t="str">
        <x:f>IF(AND(V127="reviewed",W127&gt;=1,X127&lt;&gt;"",Y127&lt;&gt;"",COUNTA(Z127:AL127)=13,AM127&lt;&gt;"",AN127&lt;&gt;"",AO127&lt;&gt;"",AP127&lt;&gt;"",AQ127&lt;&gt;"",AR127&lt;&gt;"",AS127="I_listened_at_1x_and_completed_all_required_fields",AT127&lt;&gt;"",AW127="adjudicated",OR(AY127="no",AND(AU127&lt;&gt;"",AV127&lt;&gt;""))),"complete","incomplete")</x:f>
        <x:v>incomplete</x:v>
      </x:c>
      <x:c r="BA127" s="18" t="str">
        <x:f>IF(AZ127="complete","none","faltan campos humanos, adjudicación o segunda revisión")</x:f>
        <x:v>faltan campos humanos, adjudicación o segunda revisión</x:v>
      </x:c>
    </x:row>
    <x:row r="128" ht="36" customHeight="1">
      <x:c r="A128" s="15" t="n">
        <x:v>127</x:v>
      </x:c>
      <x:c r="B128" s="15" t="str">
        <x:v>P1-CHOOSE</x:v>
      </x:c>
      <x:c r="C128" s="15" t="str">
        <x:v>no</x:v>
      </x:c>
      <x:c r="D128" s="15" t="str">
        <x:v>asset:toefl:set-15:part-5:listen-choose-2</x:v>
      </x:c>
      <x:c r="E128" s="15" t="str">
        <x:v>set-15</x:v>
      </x:c>
      <x:c r="F128" s="15" t="str">
        <x:v>Listen and Choose a Response</x:v>
      </x:c>
      <x:c r="G128" s="15" t="str">
        <x:v>/Users/josedavidduartesilva/Developer/idiomaswl/public/audio/toefl/set-15/listen-choose-2.mp3</x:v>
      </x:c>
      <x:c r="H128" s="19" t="n">
        <x:v>3.46</x:v>
      </x:c>
      <x:c r="I128" s="15" t="str">
        <x:v>P1</x:v>
      </x:c>
      <x:c r="J128" s="15" t="str">
        <x:v>100_percent_required_T08</x:v>
      </x:c>
      <x:c r="K128" s="15" t="str">
        <x:v>pass_automated_T06</x:v>
      </x:c>
      <x:c r="L128" s="15" t="str">
        <x:v>none</x:v>
      </x:c>
      <x:c r="M128" s="15" t="str">
        <x:v>none</x:v>
      </x:c>
      <x:c r="N128" s="15" t="str">
        <x:v>conserve_source_technical_candidate</x:v>
      </x:c>
      <x:c r="O128" s="15" t="str">
        <x:v>asr_candidate_recovered_pending_human</x:v>
      </x:c>
      <x:c r="P128" s="15" t="str">
        <x:v>LING-SOURCE-001;LING-STRESS-001</x:v>
      </x:c>
      <x:c r="Q128" s="15" t="str"/>
      <x:c r="R128" s="15" t="str">
        <x:v>Could you give me a ride to the airport tomorrow morning?</x:v>
      </x:c>
      <x:c r="S128" s="15" t="str">
        <x:v>no_source_candidate</x:v>
      </x:c>
      <x:c r="T128" s="15" t="str">
        <x:v>manual_exchange_review_pass_pending_T08</x:v>
      </x:c>
      <x:c r="U128" s="15" t="str">
        <x:v>B_transcript_adjudication_candidate</x:v>
      </x:c>
      <x:c r="V128" s="16" t="str">
        <x:v>not_started</x:v>
      </x:c>
      <x:c r="W128" s="16"/>
      <x:c r="X128" s="16"/>
      <x:c r="Y128" s="16"/>
      <x:c r="Z128" s="16"/>
      <x:c r="AA128" s="16"/>
      <x:c r="AB128" s="16"/>
      <x:c r="AC128" s="16"/>
      <x:c r="AD128" s="16"/>
      <x:c r="AE128" s="16"/>
      <x:c r="AF128" s="16"/>
      <x:c r="AG128" s="16"/>
      <x:c r="AH128" s="16"/>
      <x:c r="AI128" s="16"/>
      <x:c r="AJ128" s="16"/>
      <x:c r="AK128" s="16"/>
      <x:c r="AL128" s="16"/>
      <x:c r="AM128" s="16"/>
      <x:c r="AN128" s="16"/>
      <x:c r="AO128" s="16"/>
      <x:c r="AP128" s="16"/>
      <x:c r="AQ128" s="16"/>
      <x:c r="AR128" s="16"/>
      <x:c r="AS128" s="16"/>
      <x:c r="AT128" s="20"/>
      <x:c r="AU128" s="16"/>
      <x:c r="AV128" s="16"/>
      <x:c r="AW128" s="16" t="str">
        <x:v>pending</x:v>
      </x:c>
      <x:c r="AX128" s="17" t="str">
        <x:v>blocked_not_validated</x:v>
      </x:c>
      <x:c r="AY128" s="18" t="str">
        <x:f>IF(OR(C128="yes",X128="corrected",COUNTIF(Z128:AL128,"major")&gt;0,COUNTIF(Z128:AL128,"blocker")&gt;0,OR(AO128="repair",AO128="segment",AO128="replace",AO128="block")),"yes","no")</x:f>
        <x:v>no</x:v>
      </x:c>
      <x:c r="AZ128" s="18" t="str">
        <x:f>IF(AND(V128="reviewed",W128&gt;=1,X128&lt;&gt;"",Y128&lt;&gt;"",COUNTA(Z128:AL128)=13,AM128&lt;&gt;"",AN128&lt;&gt;"",AO128&lt;&gt;"",AP128&lt;&gt;"",AQ128&lt;&gt;"",AR128&lt;&gt;"",AS128="I_listened_at_1x_and_completed_all_required_fields",AT128&lt;&gt;"",AW128="adjudicated",OR(AY128="no",AND(AU128&lt;&gt;"",AV128&lt;&gt;""))),"complete","incomplete")</x:f>
        <x:v>incomplete</x:v>
      </x:c>
      <x:c r="BA128" s="18" t="str">
        <x:f>IF(AZ128="complete","none","faltan campos humanos, adjudicación o segunda revisión")</x:f>
        <x:v>faltan campos humanos, adjudicación o segunda revisión</x:v>
      </x:c>
    </x:row>
    <x:row r="129" ht="36" customHeight="1">
      <x:c r="A129" s="15" t="n">
        <x:v>128</x:v>
      </x:c>
      <x:c r="B129" s="15" t="str">
        <x:v>P1-CHOOSE</x:v>
      </x:c>
      <x:c r="C129" s="15" t="str">
        <x:v>no</x:v>
      </x:c>
      <x:c r="D129" s="15" t="str">
        <x:v>asset:toefl:set-15:part-5:listen-choose-3</x:v>
      </x:c>
      <x:c r="E129" s="15" t="str">
        <x:v>set-15</x:v>
      </x:c>
      <x:c r="F129" s="15" t="str">
        <x:v>Listen and Choose a Response</x:v>
      </x:c>
      <x:c r="G129" s="15" t="str">
        <x:v>/Users/josedavidduartesilva/Developer/idiomaswl/public/audio/toefl/set-15/listen-choose-3.mp3</x:v>
      </x:c>
      <x:c r="H129" s="19" t="n">
        <x:v>2.82</x:v>
      </x:c>
      <x:c r="I129" s="15" t="str">
        <x:v>P1</x:v>
      </x:c>
      <x:c r="J129" s="15" t="str">
        <x:v>100_percent_required_T08</x:v>
      </x:c>
      <x:c r="K129" s="15" t="str">
        <x:v>fail_actionable</x:v>
      </x:c>
      <x:c r="L129" s="15" t="str">
        <x:v>TECH-LDN-002</x:v>
      </x:c>
      <x:c r="M129" s="15" t="str">
        <x:v>none</x:v>
      </x:c>
      <x:c r="N129" s="15" t="str">
        <x:v>measure_gain_create_versioned_normalized_variant</x:v>
      </x:c>
      <x:c r="O129" s="15" t="str">
        <x:v>asr_candidate_recovered_pending_human</x:v>
      </x:c>
      <x:c r="P129" s="15" t="str">
        <x:v>LING-SOURCE-001;TECH-T06-FAIL;LING-STRESS-001</x:v>
      </x:c>
      <x:c r="Q129" s="15" t="str"/>
      <x:c r="R129" s="15" t="str">
        <x:v>Do you know when the application deadline is?</x:v>
      </x:c>
      <x:c r="S129" s="15" t="str">
        <x:v>no_source_candidate</x:v>
      </x:c>
      <x:c r="T129" s="15" t="str">
        <x:v>manual_exchange_review_pass_pending_T08</x:v>
      </x:c>
      <x:c r="U129" s="15" t="str">
        <x:v>B_transcript_adjudication_candidate</x:v>
      </x:c>
      <x:c r="V129" s="16" t="str">
        <x:v>not_started</x:v>
      </x:c>
      <x:c r="W129" s="16"/>
      <x:c r="X129" s="16"/>
      <x:c r="Y129" s="16"/>
      <x:c r="Z129" s="16"/>
      <x:c r="AA129" s="16"/>
      <x:c r="AB129" s="16"/>
      <x:c r="AC129" s="16"/>
      <x:c r="AD129" s="16"/>
      <x:c r="AE129" s="16"/>
      <x:c r="AF129" s="16"/>
      <x:c r="AG129" s="16"/>
      <x:c r="AH129" s="16"/>
      <x:c r="AI129" s="16"/>
      <x:c r="AJ129" s="16"/>
      <x:c r="AK129" s="16"/>
      <x:c r="AL129" s="16"/>
      <x:c r="AM129" s="16"/>
      <x:c r="AN129" s="16"/>
      <x:c r="AO129" s="16"/>
      <x:c r="AP129" s="16"/>
      <x:c r="AQ129" s="16"/>
      <x:c r="AR129" s="16"/>
      <x:c r="AS129" s="16"/>
      <x:c r="AT129" s="20"/>
      <x:c r="AU129" s="16"/>
      <x:c r="AV129" s="16"/>
      <x:c r="AW129" s="16" t="str">
        <x:v>pending</x:v>
      </x:c>
      <x:c r="AX129" s="17" t="str">
        <x:v>blocked_not_validated</x:v>
      </x:c>
      <x:c r="AY129" s="18" t="str">
        <x:f>IF(OR(C129="yes",X129="corrected",COUNTIF(Z129:AL129,"major")&gt;0,COUNTIF(Z129:AL129,"blocker")&gt;0,OR(AO129="repair",AO129="segment",AO129="replace",AO129="block")),"yes","no")</x:f>
        <x:v>no</x:v>
      </x:c>
      <x:c r="AZ129" s="18" t="str">
        <x:f>IF(AND(V129="reviewed",W129&gt;=1,X129&lt;&gt;"",Y129&lt;&gt;"",COUNTA(Z129:AL129)=13,AM129&lt;&gt;"",AN129&lt;&gt;"",AO129&lt;&gt;"",AP129&lt;&gt;"",AQ129&lt;&gt;"",AR129&lt;&gt;"",AS129="I_listened_at_1x_and_completed_all_required_fields",AT129&lt;&gt;"",AW129="adjudicated",OR(AY129="no",AND(AU129&lt;&gt;"",AV129&lt;&gt;""))),"complete","incomplete")</x:f>
        <x:v>incomplete</x:v>
      </x:c>
      <x:c r="BA129" s="18" t="str">
        <x:f>IF(AZ129="complete","none","faltan campos humanos, adjudicación o segunda revisión")</x:f>
        <x:v>faltan campos humanos, adjudicación o segunda revisión</x:v>
      </x:c>
    </x:row>
    <x:row r="130" ht="36" customHeight="1">
      <x:c r="A130" s="15" t="n">
        <x:v>129</x:v>
      </x:c>
      <x:c r="B130" s="15" t="str">
        <x:v>P1-CHOOSE</x:v>
      </x:c>
      <x:c r="C130" s="15" t="str">
        <x:v>no</x:v>
      </x:c>
      <x:c r="D130" s="15" t="str">
        <x:v>asset:toefl:set-15:part-5:listen-choose-4</x:v>
      </x:c>
      <x:c r="E130" s="15" t="str">
        <x:v>set-15</x:v>
      </x:c>
      <x:c r="F130" s="15" t="str">
        <x:v>Listen and Choose a Response</x:v>
      </x:c>
      <x:c r="G130" s="15" t="str">
        <x:v>/Users/josedavidduartesilva/Developer/idiomaswl/public/audio/toefl/set-15/listen-choose-4.mp3</x:v>
      </x:c>
      <x:c r="H130" s="19" t="n">
        <x:v>4.9</x:v>
      </x:c>
      <x:c r="I130" s="15" t="str">
        <x:v>P1</x:v>
      </x:c>
      <x:c r="J130" s="15" t="str">
        <x:v>100_percent_required_T08</x:v>
      </x:c>
      <x:c r="K130" s="15" t="str">
        <x:v>pass_automated_T06</x:v>
      </x:c>
      <x:c r="L130" s="15" t="str">
        <x:v>none</x:v>
      </x:c>
      <x:c r="M130" s="15" t="str">
        <x:v>none</x:v>
      </x:c>
      <x:c r="N130" s="15" t="str">
        <x:v>conserve_source_technical_candidate</x:v>
      </x:c>
      <x:c r="O130" s="15" t="str">
        <x:v>asr_candidate_recovered_pending_human</x:v>
      </x:c>
      <x:c r="P130" s="15" t="str">
        <x:v>LING-SOURCE-001;LING-STRESS-001</x:v>
      </x:c>
      <x:c r="Q130" s="15" t="str"/>
      <x:c r="R130" s="15" t="str">
        <x:v>Could you bring an extra calculator to the exam tomorrow? I lost mine.</x:v>
      </x:c>
      <x:c r="S130" s="15" t="str">
        <x:v>no_source_candidate</x:v>
      </x:c>
      <x:c r="T130" s="15" t="str">
        <x:v>manual_exchange_review_pass_pending_T08</x:v>
      </x:c>
      <x:c r="U130" s="15" t="str">
        <x:v>B_transcript_adjudication_candidate</x:v>
      </x:c>
      <x:c r="V130" s="16" t="str">
        <x:v>not_started</x:v>
      </x:c>
      <x:c r="W130" s="16"/>
      <x:c r="X130" s="16"/>
      <x:c r="Y130" s="16"/>
      <x:c r="Z130" s="16"/>
      <x:c r="AA130" s="16"/>
      <x:c r="AB130" s="16"/>
      <x:c r="AC130" s="16"/>
      <x:c r="AD130" s="16"/>
      <x:c r="AE130" s="16"/>
      <x:c r="AF130" s="16"/>
      <x:c r="AG130" s="16"/>
      <x:c r="AH130" s="16"/>
      <x:c r="AI130" s="16"/>
      <x:c r="AJ130" s="16"/>
      <x:c r="AK130" s="16"/>
      <x:c r="AL130" s="16"/>
      <x:c r="AM130" s="16"/>
      <x:c r="AN130" s="16"/>
      <x:c r="AO130" s="16"/>
      <x:c r="AP130" s="16"/>
      <x:c r="AQ130" s="16"/>
      <x:c r="AR130" s="16"/>
      <x:c r="AS130" s="16"/>
      <x:c r="AT130" s="20"/>
      <x:c r="AU130" s="16"/>
      <x:c r="AV130" s="16"/>
      <x:c r="AW130" s="16" t="str">
        <x:v>pending</x:v>
      </x:c>
      <x:c r="AX130" s="17" t="str">
        <x:v>blocked_not_validated</x:v>
      </x:c>
      <x:c r="AY130" s="18" t="str">
        <x:f>IF(OR(C130="yes",X130="corrected",COUNTIF(Z130:AL130,"major")&gt;0,COUNTIF(Z130:AL130,"blocker")&gt;0,OR(AO130="repair",AO130="segment",AO130="replace",AO130="block")),"yes","no")</x:f>
        <x:v>no</x:v>
      </x:c>
      <x:c r="AZ130" s="18" t="str">
        <x:f>IF(AND(V130="reviewed",W130&gt;=1,X130&lt;&gt;"",Y130&lt;&gt;"",COUNTA(Z130:AL130)=13,AM130&lt;&gt;"",AN130&lt;&gt;"",AO130&lt;&gt;"",AP130&lt;&gt;"",AQ130&lt;&gt;"",AR130&lt;&gt;"",AS130="I_listened_at_1x_and_completed_all_required_fields",AT130&lt;&gt;"",AW130="adjudicated",OR(AY130="no",AND(AU130&lt;&gt;"",AV130&lt;&gt;""))),"complete","incomplete")</x:f>
        <x:v>incomplete</x:v>
      </x:c>
      <x:c r="BA130" s="18" t="str">
        <x:f>IF(AZ130="complete","none","faltan campos humanos, adjudicación o segunda revisión")</x:f>
        <x:v>faltan campos humanos, adjudicación o segunda revisión</x:v>
      </x:c>
    </x:row>
    <x:row r="131" ht="36" customHeight="1">
      <x:c r="A131" s="15" t="n">
        <x:v>130</x:v>
      </x:c>
      <x:c r="B131" s="15" t="str">
        <x:v>P1-CHOOSE</x:v>
      </x:c>
      <x:c r="C131" s="15" t="str">
        <x:v>no</x:v>
      </x:c>
      <x:c r="D131" s="15" t="str">
        <x:v>asset:toefl:set-15:part-5:listen-choose-5</x:v>
      </x:c>
      <x:c r="E131" s="15" t="str">
        <x:v>set-15</x:v>
      </x:c>
      <x:c r="F131" s="15" t="str">
        <x:v>Listen and Choose a Response</x:v>
      </x:c>
      <x:c r="G131" s="15" t="str">
        <x:v>/Users/josedavidduartesilva/Developer/idiomaswl/public/audio/toefl/set-15/listen-choose-5.mp3</x:v>
      </x:c>
      <x:c r="H131" s="19" t="n">
        <x:v>2.82</x:v>
      </x:c>
      <x:c r="I131" s="15" t="str">
        <x:v>P1</x:v>
      </x:c>
      <x:c r="J131" s="15" t="str">
        <x:v>100_percent_required_T08</x:v>
      </x:c>
      <x:c r="K131" s="15" t="str">
        <x:v>pass_automated_T06</x:v>
      </x:c>
      <x:c r="L131" s="15" t="str">
        <x:v>none</x:v>
      </x:c>
      <x:c r="M131" s="15" t="str">
        <x:v>none</x:v>
      </x:c>
      <x:c r="N131" s="15" t="str">
        <x:v>conserve_source_technical_candidate</x:v>
      </x:c>
      <x:c r="O131" s="15" t="str">
        <x:v>asr_candidate_recovered_pending_human</x:v>
      </x:c>
      <x:c r="P131" s="15" t="str">
        <x:v>LING-SOURCE-001;LING-STRESS-001;LING-EXCHANGE-001</x:v>
      </x:c>
      <x:c r="Q131" s="15" t="str"/>
      <x:c r="R131" s="15" t="str">
        <x:v>How did your team do at the science competition?</x:v>
      </x:c>
      <x:c r="S131" s="15" t="str">
        <x:v>no_source_candidate</x:v>
      </x:c>
      <x:c r="T131" s="15" t="str">
        <x:v>semantically_keyed_but_unnatural_response_pending_repair</x:v>
      </x:c>
      <x:c r="U131" s="15" t="str">
        <x:v>B_transcript_adjudication_candidate</x:v>
      </x:c>
      <x:c r="V131" s="16" t="str">
        <x:v>not_started</x:v>
      </x:c>
      <x:c r="W131" s="16"/>
      <x:c r="X131" s="16"/>
      <x:c r="Y131" s="16"/>
      <x:c r="Z131" s="16"/>
      <x:c r="AA131" s="16"/>
      <x:c r="AB131" s="16"/>
      <x:c r="AC131" s="16"/>
      <x:c r="AD131" s="16"/>
      <x:c r="AE131" s="16"/>
      <x:c r="AF131" s="16"/>
      <x:c r="AG131" s="16"/>
      <x:c r="AH131" s="16"/>
      <x:c r="AI131" s="16"/>
      <x:c r="AJ131" s="16"/>
      <x:c r="AK131" s="16"/>
      <x:c r="AL131" s="16"/>
      <x:c r="AM131" s="16"/>
      <x:c r="AN131" s="16"/>
      <x:c r="AO131" s="16"/>
      <x:c r="AP131" s="16"/>
      <x:c r="AQ131" s="16"/>
      <x:c r="AR131" s="16"/>
      <x:c r="AS131" s="16"/>
      <x:c r="AT131" s="20"/>
      <x:c r="AU131" s="16"/>
      <x:c r="AV131" s="16"/>
      <x:c r="AW131" s="16" t="str">
        <x:v>pending</x:v>
      </x:c>
      <x:c r="AX131" s="17" t="str">
        <x:v>blocked_not_validated</x:v>
      </x:c>
      <x:c r="AY131" s="18" t="str">
        <x:f>IF(OR(C131="yes",X131="corrected",COUNTIF(Z131:AL131,"major")&gt;0,COUNTIF(Z131:AL131,"blocker")&gt;0,OR(AO131="repair",AO131="segment",AO131="replace",AO131="block")),"yes","no")</x:f>
        <x:v>no</x:v>
      </x:c>
      <x:c r="AZ131" s="18" t="str">
        <x:f>IF(AND(V131="reviewed",W131&gt;=1,X131&lt;&gt;"",Y131&lt;&gt;"",COUNTA(Z131:AL131)=13,AM131&lt;&gt;"",AN131&lt;&gt;"",AO131&lt;&gt;"",AP131&lt;&gt;"",AQ131&lt;&gt;"",AR131&lt;&gt;"",AS131="I_listened_at_1x_and_completed_all_required_fields",AT131&lt;&gt;"",AW131="adjudicated",OR(AY131="no",AND(AU131&lt;&gt;"",AV131&lt;&gt;""))),"complete","incomplete")</x:f>
        <x:v>incomplete</x:v>
      </x:c>
      <x:c r="BA131" s="18" t="str">
        <x:f>IF(AZ131="complete","none","faltan campos humanos, adjudicación o segunda revisión")</x:f>
        <x:v>faltan campos humanos, adjudicación o segunda revisión</x:v>
      </x:c>
    </x:row>
    <x:row r="132" ht="36" customHeight="1">
      <x:c r="A132" s="15" t="n">
        <x:v>131</x:v>
      </x:c>
      <x:c r="B132" s="15" t="str">
        <x:v>P1-LONG</x:v>
      </x:c>
      <x:c r="C132" s="15" t="str">
        <x:v>no</x:v>
      </x:c>
      <x:c r="D132" s="15" t="str">
        <x:v>asset:toefl:set-15:part-6:conversation</x:v>
      </x:c>
      <x:c r="E132" s="15" t="str">
        <x:v>set-15</x:v>
      </x:c>
      <x:c r="F132" s="15" t="str">
        <x:v>Listen to a Conversation</x:v>
      </x:c>
      <x:c r="G132" s="15" t="str">
        <x:v>/Users/josedavidduartesilva/Developer/idiomaswl/public/audio/toefl/set-15/conversation.mp3</x:v>
      </x:c>
      <x:c r="H132" s="19" t="n">
        <x:v>72.021</x:v>
      </x:c>
      <x:c r="I132" s="15" t="str">
        <x:v>P1</x:v>
      </x:c>
      <x:c r="J132" s="15" t="str">
        <x:v>100_percent_required_T08_T15</x:v>
      </x:c>
      <x:c r="K132" s="15" t="str">
        <x:v>pass_automated_T06</x:v>
      </x:c>
      <x:c r="L132" s="15" t="str">
        <x:v>none</x:v>
      </x:c>
      <x:c r="M132" s="15" t="str">
        <x:v>none</x:v>
      </x:c>
      <x:c r="N132" s="15" t="str">
        <x:v>conserve_source_technical_candidate</x:v>
      </x:c>
      <x:c r="O132" s="15" t="str">
        <x:v>source_exact_normalized_supported_pending_human</x:v>
      </x:c>
      <x:c r="P132" s="15" t="str">
        <x:v>LING-LEN-001</x:v>
      </x:c>
      <x:c r="Q132" s="15" t="str">
        <x:v>WOMAN: You look stressed. Everything okay?
MAN: Not really. I have three assignments due next week and a group project, and I feel like I'm drowning. I don't even know where to start.
WOMAN: I've been there. Have you tried making a list and prioritizing? When I feel overwhelmed, I write down everything I have to do and then rank it by deadline and importance.
MAN: I usually just try to do everything at once, and then I end up doing nothing well.
WOMAN: That's exactly the trap. The thing that helped me most was breaking big tasks into smaller steps. Instead of "write essay," I put "make an outline," "find three sources," "write introduction." Each small step feels doable, and you get momentum.
MAN: That does sound less scary than staring at a blank page.
WOMAN: Right. And for the group project, talk to your team as soon as possible and divide the work. Don't wait — that's where a lot of stress comes from, when everyone leaves it until the last minute.
MAN: Good point. I think I've been avoiding messaging them because it felt like one more thing to do.
WOMAN: Do it today. Honestly, once the work is organized and shared out, half the stress disappears. It's the feeling of chaos that's the worst part, not the work itself.</x:v>
      </x:c>
      <x:c r="R132" s="15" t="str">
        <x:v>You look stressed. Everything okay? Not really. I have three assignments due next week and a group project, and I feel like I'm drowning. I don't even know where to start. I've been there. Have you tried making a list and prioritizing? When I feel overwhelmed, I write down everything I have to do, and then rank it by deadline and importance. I usually just try to do everything at once, and then I end up doing nothing well. That's exactly the trap. The thing that helped me most was breaking big tasks into smaller steps. Instead of write essay, I put make an outline. Find three sources, write introduction. Each small step feels doable and you get momentum. That does sound less scary than staring at a blank page. Right, and for the group project, talk to your team as soon as possible and divide the work. Don't wait, that's where a lot of stress comes from when everyone leaves it until the last minute. Good point. I think I've been avoiding messaging them because it felt like one more thing to do. Do it today. Honestly, once the work is organized and shared out, half the stress disappears. It's the feeling of chaos that's the worst part, not the work itself.</x:v>
      </x:c>
      <x:c r="S132" s="15" t="str">
        <x:v>none</x:v>
      </x:c>
      <x:c r="T132" s="15" t="str">
        <x:v>source_contract_preserved_subject_to_T08</x:v>
      </x:c>
      <x:c r="U132" s="15" t="str">
        <x:v>C_linguistic_segment_or_reframe_candidate</x:v>
      </x:c>
      <x:c r="V132" s="16" t="str">
        <x:v>not_started</x:v>
      </x:c>
      <x:c r="W132" s="16"/>
      <x:c r="X132" s="16"/>
      <x:c r="Y132" s="16"/>
      <x:c r="Z132" s="16"/>
      <x:c r="AA132" s="16"/>
      <x:c r="AB132" s="16"/>
      <x:c r="AC132" s="16"/>
      <x:c r="AD132" s="16"/>
      <x:c r="AE132" s="16"/>
      <x:c r="AF132" s="16"/>
      <x:c r="AG132" s="16"/>
      <x:c r="AH132" s="16"/>
      <x:c r="AI132" s="16"/>
      <x:c r="AJ132" s="16"/>
      <x:c r="AK132" s="16"/>
      <x:c r="AL132" s="16"/>
      <x:c r="AM132" s="16"/>
      <x:c r="AN132" s="16"/>
      <x:c r="AO132" s="16"/>
      <x:c r="AP132" s="16"/>
      <x:c r="AQ132" s="16"/>
      <x:c r="AR132" s="16"/>
      <x:c r="AS132" s="16"/>
      <x:c r="AT132" s="20"/>
      <x:c r="AU132" s="16"/>
      <x:c r="AV132" s="16"/>
      <x:c r="AW132" s="16" t="str">
        <x:v>pending</x:v>
      </x:c>
      <x:c r="AX132" s="17" t="str">
        <x:v>blocked_not_validated</x:v>
      </x:c>
      <x:c r="AY132" s="18" t="str">
        <x:f>IF(OR(C132="yes",X132="corrected",COUNTIF(Z132:AL132,"major")&gt;0,COUNTIF(Z132:AL132,"blocker")&gt;0,OR(AO132="repair",AO132="segment",AO132="replace",AO132="block")),"yes","no")</x:f>
        <x:v>no</x:v>
      </x:c>
      <x:c r="AZ132" s="18" t="str">
        <x:f>IF(AND(V132="reviewed",W132&gt;=1,X132&lt;&gt;"",Y132&lt;&gt;"",COUNTA(Z132:AL132)=13,AM132&lt;&gt;"",AN132&lt;&gt;"",AO132&lt;&gt;"",AP132&lt;&gt;"",AQ132&lt;&gt;"",AR132&lt;&gt;"",AS132="I_listened_at_1x_and_completed_all_required_fields",AT132&lt;&gt;"",AW132="adjudicated",OR(AY132="no",AND(AU132&lt;&gt;"",AV132&lt;&gt;""))),"complete","incomplete")</x:f>
        <x:v>incomplete</x:v>
      </x:c>
      <x:c r="BA132" s="18" t="str">
        <x:f>IF(AZ132="complete","none","faltan campos humanos, adjudicación o segunda revisión")</x:f>
        <x:v>faltan campos humanos, adjudicación o segunda revisión</x:v>
      </x:c>
    </x:row>
    <x:row r="133" ht="36" customHeight="1">
      <x:c r="A133" s="15" t="n">
        <x:v>132</x:v>
      </x:c>
      <x:c r="B133" s="15" t="str">
        <x:v>P1-LONG</x:v>
      </x:c>
      <x:c r="C133" s="15" t="str">
        <x:v>no</x:v>
      </x:c>
      <x:c r="D133" s="15" t="str">
        <x:v>asset:toefl:set-15:part-7:announcement</x:v>
      </x:c>
      <x:c r="E133" s="15" t="str">
        <x:v>set-15</x:v>
      </x:c>
      <x:c r="F133" s="15" t="str">
        <x:v>Listen to an Announcement</x:v>
      </x:c>
      <x:c r="G133" s="15" t="str">
        <x:v>/Users/josedavidduartesilva/Developer/idiomaswl/public/audio/toefl/set-15/announcement.mp3</x:v>
      </x:c>
      <x:c r="H133" s="19" t="n">
        <x:v>47.38</x:v>
      </x:c>
      <x:c r="I133" s="15" t="str">
        <x:v>P1</x:v>
      </x:c>
      <x:c r="J133" s="15" t="str">
        <x:v>100_percent_required_T08_T15</x:v>
      </x:c>
      <x:c r="K133" s="15" t="str">
        <x:v>pass_automated_T06</x:v>
      </x:c>
      <x:c r="L133" s="15" t="str">
        <x:v>none</x:v>
      </x:c>
      <x:c r="M133" s="15" t="str">
        <x:v>none</x:v>
      </x:c>
      <x:c r="N133" s="15" t="str">
        <x:v>conserve_source_technical_candidate</x:v>
      </x:c>
      <x:c r="O133" s="15" t="str">
        <x:v>source_material_diff_pending_human</x:v>
      </x:c>
      <x:c r="P133" s="15" t="str">
        <x:v>LING-DIFF-001;LING-LEN-001</x:v>
      </x:c>
      <x:c r="Q133" s="15" t="str">
        <x:v>Good afternoon, students. This is an announcement from the science department about the upcoming science fair. The fair will take place in two weeks, on Saturday the twenty-second, in the main hall from ten a.m. to four p.m. All students are invited to enter a project, either individually or in teams of up to three.
If you wish to take part, you must submit a one-page project proposal to your science teacher by this Friday. This should describe your question, your method, and the materials you'll need. The department has a small budget to help with materials, so please indicate if you need support. Prizes will be awarded in several categories, and the winning projects will represent our school at the regional competition next month. If you have questions, come to the information session on Wednesday at lunchtime in Room 12.</x:v>
      </x:c>
      <x:c r="R133" s="15" t="str">
        <x:v>Good afternoon students, this is an announcement from the science department about the upcoming science fair. The fair will take place in two weeks on Saturday the 22nd in the main hall from 10am to 4pm. All students are invited to enter a project, either individually or in teams of up to three. If you wish to take part, you must submit a one-page project proposal to your science teacher by this Friday. This should describe your question, your method and the materials you'll need. The department has a small budget to help with materials, so please indicate if you need support. Prizes will be awarded in several categories, and the winning projects will represent our school at the regional competition next month. If you have questions, come to the information session on Wednesday at lunchtime in room 12.</x:v>
      </x:c>
      <x:c r="S133" s="15" t="str">
        <x:v>D:a | S:m→am | D:p | S:m→pm</x:v>
      </x:c>
      <x:c r="T133" s="15" t="str">
        <x:v>source_contract_preserved_subject_to_T08</x:v>
      </x:c>
      <x:c r="U133" s="15" t="str">
        <x:v>C_linguistic_segment_or_reframe_candidate</x:v>
      </x:c>
      <x:c r="V133" s="16" t="str">
        <x:v>not_started</x:v>
      </x:c>
      <x:c r="W133" s="16"/>
      <x:c r="X133" s="16"/>
      <x:c r="Y133" s="16"/>
      <x:c r="Z133" s="16"/>
      <x:c r="AA133" s="16"/>
      <x:c r="AB133" s="16"/>
      <x:c r="AC133" s="16"/>
      <x:c r="AD133" s="16"/>
      <x:c r="AE133" s="16"/>
      <x:c r="AF133" s="16"/>
      <x:c r="AG133" s="16"/>
      <x:c r="AH133" s="16"/>
      <x:c r="AI133" s="16"/>
      <x:c r="AJ133" s="16"/>
      <x:c r="AK133" s="16"/>
      <x:c r="AL133" s="16"/>
      <x:c r="AM133" s="16"/>
      <x:c r="AN133" s="16"/>
      <x:c r="AO133" s="16"/>
      <x:c r="AP133" s="16"/>
      <x:c r="AQ133" s="16"/>
      <x:c r="AR133" s="16"/>
      <x:c r="AS133" s="16"/>
      <x:c r="AT133" s="20"/>
      <x:c r="AU133" s="16"/>
      <x:c r="AV133" s="16"/>
      <x:c r="AW133" s="16" t="str">
        <x:v>pending</x:v>
      </x:c>
      <x:c r="AX133" s="17" t="str">
        <x:v>blocked_not_validated</x:v>
      </x:c>
      <x:c r="AY133" s="18" t="str">
        <x:f>IF(OR(C133="yes",X133="corrected",COUNTIF(Z133:AL133,"major")&gt;0,COUNTIF(Z133:AL133,"blocker")&gt;0,OR(AO133="repair",AO133="segment",AO133="replace",AO133="block")),"yes","no")</x:f>
        <x:v>no</x:v>
      </x:c>
      <x:c r="AZ133" s="18" t="str">
        <x:f>IF(AND(V133="reviewed",W133&gt;=1,X133&lt;&gt;"",Y133&lt;&gt;"",COUNTA(Z133:AL133)=13,AM133&lt;&gt;"",AN133&lt;&gt;"",AO133&lt;&gt;"",AP133&lt;&gt;"",AQ133&lt;&gt;"",AR133&lt;&gt;"",AS133="I_listened_at_1x_and_completed_all_required_fields",AT133&lt;&gt;"",AW133="adjudicated",OR(AY133="no",AND(AU133&lt;&gt;"",AV133&lt;&gt;""))),"complete","incomplete")</x:f>
        <x:v>incomplete</x:v>
      </x:c>
      <x:c r="BA133" s="18" t="str">
        <x:f>IF(AZ133="complete","none","faltan campos humanos, adjudicación o segunda revisión")</x:f>
        <x:v>faltan campos humanos, adjudicación o segunda revisión</x:v>
      </x:c>
    </x:row>
    <x:row r="134" ht="36" customHeight="1">
      <x:c r="A134" s="15" t="n">
        <x:v>133</x:v>
      </x:c>
      <x:c r="B134" s="15" t="str">
        <x:v>P1-LONG</x:v>
      </x:c>
      <x:c r="C134" s="15" t="str">
        <x:v>no</x:v>
      </x:c>
      <x:c r="D134" s="15" t="str">
        <x:v>asset:toefl:set-15:part-8:academic-talk</x:v>
      </x:c>
      <x:c r="E134" s="15" t="str">
        <x:v>set-15</x:v>
      </x:c>
      <x:c r="F134" s="15" t="str">
        <x:v>Listen to an Academic Talk</x:v>
      </x:c>
      <x:c r="G134" s="15" t="str">
        <x:v>/Users/josedavidduartesilva/Developer/idiomaswl/public/audio/toefl/set-15/academic-talk.mp3</x:v>
      </x:c>
      <x:c r="H134" s="19" t="n">
        <x:v>137.46</x:v>
      </x:c>
      <x:c r="I134" s="15" t="str">
        <x:v>P1</x:v>
      </x:c>
      <x:c r="J134" s="15" t="str">
        <x:v>100_percent_required_T08_T15</x:v>
      </x:c>
      <x:c r="K134" s="15" t="str">
        <x:v>fail_actionable</x:v>
      </x:c>
      <x:c r="L134" s="15" t="str">
        <x:v>TECH-LDN-002</x:v>
      </x:c>
      <x:c r="M134" s="15" t="str">
        <x:v>TECH-PEAK-003</x:v>
      </x:c>
      <x:c r="N134" s="15" t="str">
        <x:v>measure_gain_create_versioned_normalized_variant</x:v>
      </x:c>
      <x:c r="O134" s="15" t="str">
        <x:v>source_minor_diff_supported_pending_human</x:v>
      </x:c>
      <x:c r="P134" s="15" t="str">
        <x:v>LING-DIFF-001;TECH-T06-FAIL;LING-LEN-002</x:v>
      </x:c>
      <x:c r="Q134" s="15" t="str">
        <x:v>PROFESSOR: Today I want to discuss a concept that transformed our understanding of the ocean: the deep-sea hydrothermal vent. Until the late nineteen-seventies, scientists believed that all life ultimately depended on sunlight. Plants capture sunlight through photosynthesis, animals eat plants, and so on up the food chain. The deep ocean floor, far below where any light penetrates, was assumed to be almost lifeless — a cold, dark desert.
Then, in nineteen seventy-seven, scientists exploring the sea floor near the Galápagos Islands made a stunning discovery. Around cracks in the ocean floor, where superheated, mineral-rich water gushed out from beneath the Earth's crust, they found thriving communities of life: giant tube worms, clams, crabs, and more, packed densely in the darkness. This was a profound puzzle. With no sunlight, how could such an abundance of life exist?
The answer revolutionized biology. The base of this ecosystem is not plants but bacteria that perform what we call chemosynthesis. Instead of using sunlight, these bacteria draw energy from chemicals — particularly hydrogen sulfide — dissolved in the vent water. They convert this chemical energy into food, just as plants convert sunlight. Everything else in the vent community depends, directly or indirectly, on these chemosynthetic bacteria.
Why does this matter beyond the ocean floor? For one, it dramatically expanded our sense of where life can survive. If life can thrive on chemical energy in total darkness under crushing pressure, then perhaps life could exist in similarly extreme environments elsewhere — including on other worlds, such as beneath the icy surface of some of Jupiter's and Saturn's moons, where oceans may exist. The discovery of hydrothermal vents didn't just add a chapter to marine biology; it reshaped how scientists think about the very limits of life itself.</x:v>
      </x:c>
      <x:c r="R134" s="15" t="str">
        <x:v>Today I want to discuss a concept that transformed our understanding of the ocean, the deep sea hydrothermal vent. Until the late 1970s, scientists believed that all life ultimately depended on sunlight. Plants capture sunlight through photosynthesis, animals eat plants, and so on up the food chain. The deep ocean floor, far below where any light penetrates, was assumed to be almost lifeless, a cold, dark desert. Then, in 1977, scientists exploring the seafloor near the Galapagos Islands made a stunning discovery. Around cracks in the ocean floor, where superheated, mineral-rich water gushed out from beneath the Earth's crust, they found thriving communities of life. Giant tubeworms, clams, crabs, and more packed densely in the darkness. This was a profound puzzle. With no sunlight, how could such an abundance of life exist? The answer revolutionized biology. The base of this ecosystem is not plants, but bacteria that perform what we call chemosynthesis. Instead of using sunlight, these bacteria draw energy from chemicals, particularly hydrogen sulfide, dissolved in the vent water. They convert this chemical energy into food, just as plants convert sunlight. Everything else in the vent community depends, directly or indirectly, on these chemosynthetic bacteria. Why does this matter beyond the ocean floor? For one, it dramatically expanded our sense of where life can survive. If life can thrive on chemical energy in total darkness under crushing pressure, then perhaps life could exist in similarly extreme environments elsewhere, including on other worlds, such as beneath the icy surface of some of Jupiter's and Saturn's moons, where oceans may exist. The discovery of hydrothermal vents didn't just add a chapter to marine biology. It reshaped how scientists think about the very limits of life itself.</x:v>
      </x:c>
      <x:c r="S134" s="15" t="str">
        <x:v>D:sea | S:floor→seafloor | D:tube | S:worms→tubeworms</x:v>
      </x:c>
      <x:c r="T134" s="15" t="str">
        <x:v>source_contract_preserved_subject_to_T08</x:v>
      </x:c>
      <x:c r="U134" s="15" t="str">
        <x:v>C_linguistic_segment_or_reframe_candidate</x:v>
      </x:c>
      <x:c r="V134" s="16" t="str">
        <x:v>not_started</x:v>
      </x:c>
      <x:c r="W134" s="16"/>
      <x:c r="X134" s="16"/>
      <x:c r="Y134" s="16"/>
      <x:c r="Z134" s="16"/>
      <x:c r="AA134" s="16"/>
      <x:c r="AB134" s="16"/>
      <x:c r="AC134" s="16"/>
      <x:c r="AD134" s="16"/>
      <x:c r="AE134" s="16"/>
      <x:c r="AF134" s="16"/>
      <x:c r="AG134" s="16"/>
      <x:c r="AH134" s="16"/>
      <x:c r="AI134" s="16"/>
      <x:c r="AJ134" s="16"/>
      <x:c r="AK134" s="16"/>
      <x:c r="AL134" s="16"/>
      <x:c r="AM134" s="16"/>
      <x:c r="AN134" s="16"/>
      <x:c r="AO134" s="16"/>
      <x:c r="AP134" s="16"/>
      <x:c r="AQ134" s="16"/>
      <x:c r="AR134" s="16"/>
      <x:c r="AS134" s="16"/>
      <x:c r="AT134" s="20"/>
      <x:c r="AU134" s="16"/>
      <x:c r="AV134" s="16"/>
      <x:c r="AW134" s="16" t="str">
        <x:v>pending</x:v>
      </x:c>
      <x:c r="AX134" s="17" t="str">
        <x:v>blocked_not_validated</x:v>
      </x:c>
      <x:c r="AY134" s="18" t="str">
        <x:f>IF(OR(C134="yes",X134="corrected",COUNTIF(Z134:AL134,"major")&gt;0,COUNTIF(Z134:AL134,"blocker")&gt;0,OR(AO134="repair",AO134="segment",AO134="replace",AO134="block")),"yes","no")</x:f>
        <x:v>no</x:v>
      </x:c>
      <x:c r="AZ134" s="18" t="str">
        <x:f>IF(AND(V134="reviewed",W134&gt;=1,X134&lt;&gt;"",Y134&lt;&gt;"",COUNTA(Z134:AL134)=13,AM134&lt;&gt;"",AN134&lt;&gt;"",AO134&lt;&gt;"",AP134&lt;&gt;"",AQ134&lt;&gt;"",AR134&lt;&gt;"",AS134="I_listened_at_1x_and_completed_all_required_fields",AT134&lt;&gt;"",AW134="adjudicated",OR(AY134="no",AND(AU134&lt;&gt;"",AV134&lt;&gt;""))),"complete","incomplete")</x:f>
        <x:v>incomplete</x:v>
      </x:c>
      <x:c r="BA134" s="18" t="str">
        <x:f>IF(AZ134="complete","none","faltan campos humanos, adjudicación o segunda revisión")</x:f>
        <x:v>faltan campos humanos, adjudicación o segunda revisión</x:v>
      </x:c>
    </x:row>
    <x:row r="135" ht="36" customHeight="1">
      <x:c r="A135" s="15" t="n">
        <x:v>134</x:v>
      </x:c>
      <x:c r="B135" s="15" t="str">
        <x:v>P1-REPEAT</x:v>
      </x:c>
      <x:c r="C135" s="15" t="str">
        <x:v>no</x:v>
      </x:c>
      <x:c r="D135" s="15" t="str">
        <x:v>asset:toefl:set-15:part-12:repeat-4</x:v>
      </x:c>
      <x:c r="E135" s="15" t="str">
        <x:v>set-15</x:v>
      </x:c>
      <x:c r="F135" s="15" t="str">
        <x:v>Listen and Repeat</x:v>
      </x:c>
      <x:c r="G135" s="15" t="str">
        <x:v>/Users/josedavidduartesilva/Developer/idiomaswl/public/audio/toefl/set-15/repeat-4.mp3</x:v>
      </x:c>
      <x:c r="H135" s="19" t="n">
        <x:v>4.34</x:v>
      </x:c>
      <x:c r="I135" s="15" t="str">
        <x:v>P1</x:v>
      </x:c>
      <x:c r="J135" s="15" t="str">
        <x:v>100_percent_required_T08</x:v>
      </x:c>
      <x:c r="K135" s="15" t="str">
        <x:v>pass_automated_T06</x:v>
      </x:c>
      <x:c r="L135" s="15" t="str">
        <x:v>none</x:v>
      </x:c>
      <x:c r="M135" s="15" t="str">
        <x:v>none</x:v>
      </x:c>
      <x:c r="N135" s="15" t="str">
        <x:v>conserve_source_technical_candidate</x:v>
      </x:c>
      <x:c r="O135" s="15" t="str">
        <x:v>source_material_diff_pending_human</x:v>
      </x:c>
      <x:c r="P135" s="15" t="str">
        <x:v>LING-DIFF-001</x:v>
      </x:c>
      <x:c r="Q135" s="15" t="str">
        <x:v>The scientists warned that the glacier was melting faster than expected.</x:v>
      </x:c>
      <x:c r="R135" s="15" t="str">
        <x:v>The scientists warn that the glacier was melting faster than expected.</x:v>
      </x:c>
      <x:c r="S135" s="15" t="str">
        <x:v>S:warned→warn</x:v>
      </x:c>
      <x:c r="T135" s="15" t="str">
        <x:v>source_contract_preserved_subject_to_T08</x:v>
      </x:c>
      <x:c r="U135" s="15" t="str">
        <x:v>B_linguistic_adjudication_or_repair_candidate</x:v>
      </x:c>
      <x:c r="V135" s="16" t="str">
        <x:v>not_started</x:v>
      </x:c>
      <x:c r="W135" s="16"/>
      <x:c r="X135" s="16"/>
      <x:c r="Y135" s="16"/>
      <x:c r="Z135" s="16"/>
      <x:c r="AA135" s="16"/>
      <x:c r="AB135" s="16"/>
      <x:c r="AC135" s="16"/>
      <x:c r="AD135" s="16"/>
      <x:c r="AE135" s="16"/>
      <x:c r="AF135" s="16"/>
      <x:c r="AG135" s="16"/>
      <x:c r="AH135" s="16"/>
      <x:c r="AI135" s="16"/>
      <x:c r="AJ135" s="16"/>
      <x:c r="AK135" s="16"/>
      <x:c r="AL135" s="16"/>
      <x:c r="AM135" s="16"/>
      <x:c r="AN135" s="16"/>
      <x:c r="AO135" s="16"/>
      <x:c r="AP135" s="16"/>
      <x:c r="AQ135" s="16"/>
      <x:c r="AR135" s="16"/>
      <x:c r="AS135" s="16"/>
      <x:c r="AT135" s="20"/>
      <x:c r="AU135" s="16"/>
      <x:c r="AV135" s="16"/>
      <x:c r="AW135" s="16" t="str">
        <x:v>pending</x:v>
      </x:c>
      <x:c r="AX135" s="17" t="str">
        <x:v>blocked_not_validated</x:v>
      </x:c>
      <x:c r="AY135" s="18" t="str">
        <x:f>IF(OR(C135="yes",X135="corrected",COUNTIF(Z135:AL135,"major")&gt;0,COUNTIF(Z135:AL135,"blocker")&gt;0,OR(AO135="repair",AO135="segment",AO135="replace",AO135="block")),"yes","no")</x:f>
        <x:v>no</x:v>
      </x:c>
      <x:c r="AZ135" s="18" t="str">
        <x:f>IF(AND(V135="reviewed",W135&gt;=1,X135&lt;&gt;"",Y135&lt;&gt;"",COUNTA(Z135:AL135)=13,AM135&lt;&gt;"",AN135&lt;&gt;"",AO135&lt;&gt;"",AP135&lt;&gt;"",AQ135&lt;&gt;"",AR135&lt;&gt;"",AS135="I_listened_at_1x_and_completed_all_required_fields",AT135&lt;&gt;"",AW135="adjudicated",OR(AY135="no",AND(AU135&lt;&gt;"",AV135&lt;&gt;""))),"complete","incomplete")</x:f>
        <x:v>incomplete</x:v>
      </x:c>
      <x:c r="BA135" s="18" t="str">
        <x:f>IF(AZ135="complete","none","faltan campos humanos, adjudicación o segunda revisión")</x:f>
        <x:v>faltan campos humanos, adjudicación o segunda revisión</x:v>
      </x:c>
    </x:row>
    <x:row r="136" ht="36" customHeight="1">
      <x:c r="A136" s="15" t="n">
        <x:v>135</x:v>
      </x:c>
      <x:c r="B136" s="15" t="str">
        <x:v>P1-CHOOSE</x:v>
      </x:c>
      <x:c r="C136" s="15" t="str">
        <x:v>no</x:v>
      </x:c>
      <x:c r="D136" s="15" t="str">
        <x:v>asset:toefl:set-16:part-5:listen-choose-1</x:v>
      </x:c>
      <x:c r="E136" s="15" t="str">
        <x:v>set-16</x:v>
      </x:c>
      <x:c r="F136" s="15" t="str">
        <x:v>Listen and Choose a Response</x:v>
      </x:c>
      <x:c r="G136" s="15" t="str">
        <x:v>/Users/josedavidduartesilva/Developer/idiomaswl/public/audio/toefl/set-16/listen-choose-1.mp3</x:v>
      </x:c>
      <x:c r="H136" s="19" t="n">
        <x:v>3.06</x:v>
      </x:c>
      <x:c r="I136" s="15" t="str">
        <x:v>P1</x:v>
      </x:c>
      <x:c r="J136" s="15" t="str">
        <x:v>100_percent_required_T08</x:v>
      </x:c>
      <x:c r="K136" s="15" t="str">
        <x:v>pass_automated_T06</x:v>
      </x:c>
      <x:c r="L136" s="15" t="str">
        <x:v>none</x:v>
      </x:c>
      <x:c r="M136" s="15" t="str">
        <x:v>none</x:v>
      </x:c>
      <x:c r="N136" s="15" t="str">
        <x:v>conserve_source_technical_candidate</x:v>
      </x:c>
      <x:c r="O136" s="15" t="str">
        <x:v>asr_candidate_recovered_pending_human</x:v>
      </x:c>
      <x:c r="P136" s="15" t="str">
        <x:v>LING-SOURCE-001;LING-STRESS-001</x:v>
      </x:c>
      <x:c r="Q136" s="15" t="str"/>
      <x:c r="R136" s="15" t="str">
        <x:v>Excuse me, do you know where the bookstore is?</x:v>
      </x:c>
      <x:c r="S136" s="15" t="str">
        <x:v>no_source_candidate</x:v>
      </x:c>
      <x:c r="T136" s="15" t="str">
        <x:v>manual_exchange_review_pass_pending_T08</x:v>
      </x:c>
      <x:c r="U136" s="15" t="str">
        <x:v>B_transcript_adjudication_candidate</x:v>
      </x:c>
      <x:c r="V136" s="16" t="str">
        <x:v>not_started</x:v>
      </x:c>
      <x:c r="W136" s="16"/>
      <x:c r="X136" s="16"/>
      <x:c r="Y136" s="16"/>
      <x:c r="Z136" s="16"/>
      <x:c r="AA136" s="16"/>
      <x:c r="AB136" s="16"/>
      <x:c r="AC136" s="16"/>
      <x:c r="AD136" s="16"/>
      <x:c r="AE136" s="16"/>
      <x:c r="AF136" s="16"/>
      <x:c r="AG136" s="16"/>
      <x:c r="AH136" s="16"/>
      <x:c r="AI136" s="16"/>
      <x:c r="AJ136" s="16"/>
      <x:c r="AK136" s="16"/>
      <x:c r="AL136" s="16"/>
      <x:c r="AM136" s="16"/>
      <x:c r="AN136" s="16"/>
      <x:c r="AO136" s="16"/>
      <x:c r="AP136" s="16"/>
      <x:c r="AQ136" s="16"/>
      <x:c r="AR136" s="16"/>
      <x:c r="AS136" s="16"/>
      <x:c r="AT136" s="20"/>
      <x:c r="AU136" s="16"/>
      <x:c r="AV136" s="16"/>
      <x:c r="AW136" s="16" t="str">
        <x:v>pending</x:v>
      </x:c>
      <x:c r="AX136" s="17" t="str">
        <x:v>blocked_not_validated</x:v>
      </x:c>
      <x:c r="AY136" s="18" t="str">
        <x:f>IF(OR(C136="yes",X136="corrected",COUNTIF(Z136:AL136,"major")&gt;0,COUNTIF(Z136:AL136,"blocker")&gt;0,OR(AO136="repair",AO136="segment",AO136="replace",AO136="block")),"yes","no")</x:f>
        <x:v>no</x:v>
      </x:c>
      <x:c r="AZ136" s="18" t="str">
        <x:f>IF(AND(V136="reviewed",W136&gt;=1,X136&lt;&gt;"",Y136&lt;&gt;"",COUNTA(Z136:AL136)=13,AM136&lt;&gt;"",AN136&lt;&gt;"",AO136&lt;&gt;"",AP136&lt;&gt;"",AQ136&lt;&gt;"",AR136&lt;&gt;"",AS136="I_listened_at_1x_and_completed_all_required_fields",AT136&lt;&gt;"",AW136="adjudicated",OR(AY136="no",AND(AU136&lt;&gt;"",AV136&lt;&gt;""))),"complete","incomplete")</x:f>
        <x:v>incomplete</x:v>
      </x:c>
      <x:c r="BA136" s="18" t="str">
        <x:f>IF(AZ136="complete","none","faltan campos humanos, adjudicación o segunda revisión")</x:f>
        <x:v>faltan campos humanos, adjudicación o segunda revisión</x:v>
      </x:c>
    </x:row>
    <x:row r="137" ht="36" customHeight="1">
      <x:c r="A137" s="15" t="n">
        <x:v>136</x:v>
      </x:c>
      <x:c r="B137" s="15" t="str">
        <x:v>P1-CHOOSE</x:v>
      </x:c>
      <x:c r="C137" s="15" t="str">
        <x:v>no</x:v>
      </x:c>
      <x:c r="D137" s="15" t="str">
        <x:v>asset:toefl:set-16:part-5:listen-choose-2</x:v>
      </x:c>
      <x:c r="E137" s="15" t="str">
        <x:v>set-16</x:v>
      </x:c>
      <x:c r="F137" s="15" t="str">
        <x:v>Listen and Choose a Response</x:v>
      </x:c>
      <x:c r="G137" s="15" t="str">
        <x:v>/Users/josedavidduartesilva/Developer/idiomaswl/public/audio/toefl/set-16/listen-choose-2.mp3</x:v>
      </x:c>
      <x:c r="H137" s="19" t="n">
        <x:v>4.42</x:v>
      </x:c>
      <x:c r="I137" s="15" t="str">
        <x:v>P1</x:v>
      </x:c>
      <x:c r="J137" s="15" t="str">
        <x:v>100_percent_required_T08</x:v>
      </x:c>
      <x:c r="K137" s="15" t="str">
        <x:v>fail_actionable</x:v>
      </x:c>
      <x:c r="L137" s="15" t="str">
        <x:v>TECH-LDN-002</x:v>
      </x:c>
      <x:c r="M137" s="15" t="str">
        <x:v>TECH-PEAK-003</x:v>
      </x:c>
      <x:c r="N137" s="15" t="str">
        <x:v>measure_gain_create_versioned_normalized_variant</x:v>
      </x:c>
      <x:c r="O137" s="15" t="str">
        <x:v>asr_candidate_recovered_pending_human</x:v>
      </x:c>
      <x:c r="P137" s="15" t="str">
        <x:v>LING-SOURCE-001;TECH-T06-FAIL;LING-STRESS-001</x:v>
      </x:c>
      <x:c r="Q137" s="15" t="str"/>
      <x:c r="R137" s="15" t="str">
        <x:v>My phone is almost dead. Do you have a charger I could borrow?</x:v>
      </x:c>
      <x:c r="S137" s="15" t="str">
        <x:v>no_source_candidate</x:v>
      </x:c>
      <x:c r="T137" s="15" t="str">
        <x:v>manual_exchange_review_pass_pending_T08</x:v>
      </x:c>
      <x:c r="U137" s="15" t="str">
        <x:v>B_transcript_adjudication_candidate</x:v>
      </x:c>
      <x:c r="V137" s="16" t="str">
        <x:v>not_started</x:v>
      </x:c>
      <x:c r="W137" s="16"/>
      <x:c r="X137" s="16"/>
      <x:c r="Y137" s="16"/>
      <x:c r="Z137" s="16"/>
      <x:c r="AA137" s="16"/>
      <x:c r="AB137" s="16"/>
      <x:c r="AC137" s="16"/>
      <x:c r="AD137" s="16"/>
      <x:c r="AE137" s="16"/>
      <x:c r="AF137" s="16"/>
      <x:c r="AG137" s="16"/>
      <x:c r="AH137" s="16"/>
      <x:c r="AI137" s="16"/>
      <x:c r="AJ137" s="16"/>
      <x:c r="AK137" s="16"/>
      <x:c r="AL137" s="16"/>
      <x:c r="AM137" s="16"/>
      <x:c r="AN137" s="16"/>
      <x:c r="AO137" s="16"/>
      <x:c r="AP137" s="16"/>
      <x:c r="AQ137" s="16"/>
      <x:c r="AR137" s="16"/>
      <x:c r="AS137" s="16"/>
      <x:c r="AT137" s="20"/>
      <x:c r="AU137" s="16"/>
      <x:c r="AV137" s="16"/>
      <x:c r="AW137" s="16" t="str">
        <x:v>pending</x:v>
      </x:c>
      <x:c r="AX137" s="17" t="str">
        <x:v>blocked_not_validated</x:v>
      </x:c>
      <x:c r="AY137" s="18" t="str">
        <x:f>IF(OR(C137="yes",X137="corrected",COUNTIF(Z137:AL137,"major")&gt;0,COUNTIF(Z137:AL137,"blocker")&gt;0,OR(AO137="repair",AO137="segment",AO137="replace",AO137="block")),"yes","no")</x:f>
        <x:v>no</x:v>
      </x:c>
      <x:c r="AZ137" s="18" t="str">
        <x:f>IF(AND(V137="reviewed",W137&gt;=1,X137&lt;&gt;"",Y137&lt;&gt;"",COUNTA(Z137:AL137)=13,AM137&lt;&gt;"",AN137&lt;&gt;"",AO137&lt;&gt;"",AP137&lt;&gt;"",AQ137&lt;&gt;"",AR137&lt;&gt;"",AS137="I_listened_at_1x_and_completed_all_required_fields",AT137&lt;&gt;"",AW137="adjudicated",OR(AY137="no",AND(AU137&lt;&gt;"",AV137&lt;&gt;""))),"complete","incomplete")</x:f>
        <x:v>incomplete</x:v>
      </x:c>
      <x:c r="BA137" s="18" t="str">
        <x:f>IF(AZ137="complete","none","faltan campos humanos, adjudicación o segunda revisión")</x:f>
        <x:v>faltan campos humanos, adjudicación o segunda revisión</x:v>
      </x:c>
    </x:row>
    <x:row r="138" ht="36" customHeight="1">
      <x:c r="A138" s="15" t="n">
        <x:v>137</x:v>
      </x:c>
      <x:c r="B138" s="15" t="str">
        <x:v>P1-CHOOSE</x:v>
      </x:c>
      <x:c r="C138" s="15" t="str">
        <x:v>no</x:v>
      </x:c>
      <x:c r="D138" s="15" t="str">
        <x:v>asset:toefl:set-16:part-5:listen-choose-3</x:v>
      </x:c>
      <x:c r="E138" s="15" t="str">
        <x:v>set-16</x:v>
      </x:c>
      <x:c r="F138" s="15" t="str">
        <x:v>Listen and Choose a Response</x:v>
      </x:c>
      <x:c r="G138" s="15" t="str">
        <x:v>/Users/josedavidduartesilva/Developer/idiomaswl/public/audio/toefl/set-16/listen-choose-3.mp3</x:v>
      </x:c>
      <x:c r="H138" s="19" t="n">
        <x:v>2.74</x:v>
      </x:c>
      <x:c r="I138" s="15" t="str">
        <x:v>P1</x:v>
      </x:c>
      <x:c r="J138" s="15" t="str">
        <x:v>100_percent_required_T08</x:v>
      </x:c>
      <x:c r="K138" s="15" t="str">
        <x:v>pass_automated_T06</x:v>
      </x:c>
      <x:c r="L138" s="15" t="str">
        <x:v>none</x:v>
      </x:c>
      <x:c r="M138" s="15" t="str">
        <x:v>none</x:v>
      </x:c>
      <x:c r="N138" s="15" t="str">
        <x:v>conserve_source_technical_candidate</x:v>
      </x:c>
      <x:c r="O138" s="15" t="str">
        <x:v>asr_candidate_recovered_pending_human</x:v>
      </x:c>
      <x:c r="P138" s="15" t="str">
        <x:v>LING-SOURCE-001;LING-STRESS-001</x:v>
      </x:c>
      <x:c r="Q138" s="15" t="str"/>
      <x:c r="R138" s="15" t="str">
        <x:v>When is the deadline to sign up for the course?</x:v>
      </x:c>
      <x:c r="S138" s="15" t="str">
        <x:v>no_source_candidate</x:v>
      </x:c>
      <x:c r="T138" s="15" t="str">
        <x:v>manual_exchange_review_pass_pending_T08</x:v>
      </x:c>
      <x:c r="U138" s="15" t="str">
        <x:v>B_transcript_adjudication_candidate</x:v>
      </x:c>
      <x:c r="V138" s="16" t="str">
        <x:v>not_started</x:v>
      </x:c>
      <x:c r="W138" s="16"/>
      <x:c r="X138" s="16"/>
      <x:c r="Y138" s="16"/>
      <x:c r="Z138" s="16"/>
      <x:c r="AA138" s="16"/>
      <x:c r="AB138" s="16"/>
      <x:c r="AC138" s="16"/>
      <x:c r="AD138" s="16"/>
      <x:c r="AE138" s="16"/>
      <x:c r="AF138" s="16"/>
      <x:c r="AG138" s="16"/>
      <x:c r="AH138" s="16"/>
      <x:c r="AI138" s="16"/>
      <x:c r="AJ138" s="16"/>
      <x:c r="AK138" s="16"/>
      <x:c r="AL138" s="16"/>
      <x:c r="AM138" s="16"/>
      <x:c r="AN138" s="16"/>
      <x:c r="AO138" s="16"/>
      <x:c r="AP138" s="16"/>
      <x:c r="AQ138" s="16"/>
      <x:c r="AR138" s="16"/>
      <x:c r="AS138" s="16"/>
      <x:c r="AT138" s="20"/>
      <x:c r="AU138" s="16"/>
      <x:c r="AV138" s="16"/>
      <x:c r="AW138" s="16" t="str">
        <x:v>pending</x:v>
      </x:c>
      <x:c r="AX138" s="17" t="str">
        <x:v>blocked_not_validated</x:v>
      </x:c>
      <x:c r="AY138" s="18" t="str">
        <x:f>IF(OR(C138="yes",X138="corrected",COUNTIF(Z138:AL138,"major")&gt;0,COUNTIF(Z138:AL138,"blocker")&gt;0,OR(AO138="repair",AO138="segment",AO138="replace",AO138="block")),"yes","no")</x:f>
        <x:v>no</x:v>
      </x:c>
      <x:c r="AZ138" s="18" t="str">
        <x:f>IF(AND(V138="reviewed",W138&gt;=1,X138&lt;&gt;"",Y138&lt;&gt;"",COUNTA(Z138:AL138)=13,AM138&lt;&gt;"",AN138&lt;&gt;"",AO138&lt;&gt;"",AP138&lt;&gt;"",AQ138&lt;&gt;"",AR138&lt;&gt;"",AS138="I_listened_at_1x_and_completed_all_required_fields",AT138&lt;&gt;"",AW138="adjudicated",OR(AY138="no",AND(AU138&lt;&gt;"",AV138&lt;&gt;""))),"complete","incomplete")</x:f>
        <x:v>incomplete</x:v>
      </x:c>
      <x:c r="BA138" s="18" t="str">
        <x:f>IF(AZ138="complete","none","faltan campos humanos, adjudicación o segunda revisión")</x:f>
        <x:v>faltan campos humanos, adjudicación o segunda revisión</x:v>
      </x:c>
    </x:row>
    <x:row r="139" ht="36" customHeight="1">
      <x:c r="A139" s="15" t="n">
        <x:v>138</x:v>
      </x:c>
      <x:c r="B139" s="15" t="str">
        <x:v>P1-CHOOSE</x:v>
      </x:c>
      <x:c r="C139" s="15" t="str">
        <x:v>no</x:v>
      </x:c>
      <x:c r="D139" s="15" t="str">
        <x:v>asset:toefl:set-16:part-5:listen-choose-4</x:v>
      </x:c>
      <x:c r="E139" s="15" t="str">
        <x:v>set-16</x:v>
      </x:c>
      <x:c r="F139" s="15" t="str">
        <x:v>Listen and Choose a Response</x:v>
      </x:c>
      <x:c r="G139" s="15" t="str">
        <x:v>/Users/josedavidduartesilva/Developer/idiomaswl/public/audio/toefl/set-16/listen-choose-4.mp3</x:v>
      </x:c>
      <x:c r="H139" s="19" t="n">
        <x:v>3.38</x:v>
      </x:c>
      <x:c r="I139" s="15" t="str">
        <x:v>P1</x:v>
      </x:c>
      <x:c r="J139" s="15" t="str">
        <x:v>100_percent_required_T08</x:v>
      </x:c>
      <x:c r="K139" s="15" t="str">
        <x:v>pass_with_actionable_warning</x:v>
      </x:c>
      <x:c r="L139" s="15" t="str">
        <x:v>none</x:v>
      </x:c>
      <x:c r="M139" s="15" t="str">
        <x:v>TECH-PEAK-003</x:v>
      </x:c>
      <x:c r="N139" s="15" t="str">
        <x:v>review_warning_in_T08_before_conserve</x:v>
      </x:c>
      <x:c r="O139" s="15" t="str">
        <x:v>asr_candidate_recovered_pending_human</x:v>
      </x:c>
      <x:c r="P139" s="15" t="str">
        <x:v>LING-SOURCE-001;LING-STRESS-001</x:v>
      </x:c>
      <x:c r="Q139" s="15" t="str"/>
      <x:c r="R139" s="15" t="str">
        <x:v>I'm running about 10 minutes late, could you wait for me?</x:v>
      </x:c>
      <x:c r="S139" s="15" t="str">
        <x:v>no_source_candidate</x:v>
      </x:c>
      <x:c r="T139" s="15" t="str">
        <x:v>manual_exchange_review_pass_pending_T08</x:v>
      </x:c>
      <x:c r="U139" s="15" t="str">
        <x:v>B_transcript_adjudication_candidate</x:v>
      </x:c>
      <x:c r="V139" s="16" t="str">
        <x:v>not_started</x:v>
      </x:c>
      <x:c r="W139" s="16"/>
      <x:c r="X139" s="16"/>
      <x:c r="Y139" s="16"/>
      <x:c r="Z139" s="16"/>
      <x:c r="AA139" s="16"/>
      <x:c r="AB139" s="16"/>
      <x:c r="AC139" s="16"/>
      <x:c r="AD139" s="16"/>
      <x:c r="AE139" s="16"/>
      <x:c r="AF139" s="16"/>
      <x:c r="AG139" s="16"/>
      <x:c r="AH139" s="16"/>
      <x:c r="AI139" s="16"/>
      <x:c r="AJ139" s="16"/>
      <x:c r="AK139" s="16"/>
      <x:c r="AL139" s="16"/>
      <x:c r="AM139" s="16"/>
      <x:c r="AN139" s="16"/>
      <x:c r="AO139" s="16"/>
      <x:c r="AP139" s="16"/>
      <x:c r="AQ139" s="16"/>
      <x:c r="AR139" s="16"/>
      <x:c r="AS139" s="16"/>
      <x:c r="AT139" s="20"/>
      <x:c r="AU139" s="16"/>
      <x:c r="AV139" s="16"/>
      <x:c r="AW139" s="16" t="str">
        <x:v>pending</x:v>
      </x:c>
      <x:c r="AX139" s="17" t="str">
        <x:v>blocked_not_validated</x:v>
      </x:c>
      <x:c r="AY139" s="18" t="str">
        <x:f>IF(OR(C139="yes",X139="corrected",COUNTIF(Z139:AL139,"major")&gt;0,COUNTIF(Z139:AL139,"blocker")&gt;0,OR(AO139="repair",AO139="segment",AO139="replace",AO139="block")),"yes","no")</x:f>
        <x:v>no</x:v>
      </x:c>
      <x:c r="AZ139" s="18" t="str">
        <x:f>IF(AND(V139="reviewed",W139&gt;=1,X139&lt;&gt;"",Y139&lt;&gt;"",COUNTA(Z139:AL139)=13,AM139&lt;&gt;"",AN139&lt;&gt;"",AO139&lt;&gt;"",AP139&lt;&gt;"",AQ139&lt;&gt;"",AR139&lt;&gt;"",AS139="I_listened_at_1x_and_completed_all_required_fields",AT139&lt;&gt;"",AW139="adjudicated",OR(AY139="no",AND(AU139&lt;&gt;"",AV139&lt;&gt;""))),"complete","incomplete")</x:f>
        <x:v>incomplete</x:v>
      </x:c>
      <x:c r="BA139" s="18" t="str">
        <x:f>IF(AZ139="complete","none","faltan campos humanos, adjudicación o segunda revisión")</x:f>
        <x:v>faltan campos humanos, adjudicación o segunda revisión</x:v>
      </x:c>
    </x:row>
    <x:row r="140" ht="36" customHeight="1">
      <x:c r="A140" s="15" t="n">
        <x:v>139</x:v>
      </x:c>
      <x:c r="B140" s="15" t="str">
        <x:v>P1-CHOOSE</x:v>
      </x:c>
      <x:c r="C140" s="15" t="str">
        <x:v>no</x:v>
      </x:c>
      <x:c r="D140" s="15" t="str">
        <x:v>asset:toefl:set-16:part-5:listen-choose-5</x:v>
      </x:c>
      <x:c r="E140" s="15" t="str">
        <x:v>set-16</x:v>
      </x:c>
      <x:c r="F140" s="15" t="str">
        <x:v>Listen and Choose a Response</x:v>
      </x:c>
      <x:c r="G140" s="15" t="str">
        <x:v>/Users/josedavidduartesilva/Developer/idiomaswl/public/audio/toefl/set-16/listen-choose-5.mp3</x:v>
      </x:c>
      <x:c r="H140" s="19" t="n">
        <x:v>3.86</x:v>
      </x:c>
      <x:c r="I140" s="15" t="str">
        <x:v>P1</x:v>
      </x:c>
      <x:c r="J140" s="15" t="str">
        <x:v>100_percent_required_T08</x:v>
      </x:c>
      <x:c r="K140" s="15" t="str">
        <x:v>pass_automated_T06</x:v>
      </x:c>
      <x:c r="L140" s="15" t="str">
        <x:v>none</x:v>
      </x:c>
      <x:c r="M140" s="15" t="str">
        <x:v>none</x:v>
      </x:c>
      <x:c r="N140" s="15" t="str">
        <x:v>conserve_source_technical_candidate</x:v>
      </x:c>
      <x:c r="O140" s="15" t="str">
        <x:v>asr_candidate_recovered_pending_human</x:v>
      </x:c>
      <x:c r="P140" s="15" t="str">
        <x:v>LING-SOURCE-001;LING-STRESS-001</x:v>
      </x:c>
      <x:c r="Q140" s="15" t="str"/>
      <x:c r="R140" s="15" t="str">
        <x:v>You look so happy! Did you hear back about your application?</x:v>
      </x:c>
      <x:c r="S140" s="15" t="str">
        <x:v>no_source_candidate</x:v>
      </x:c>
      <x:c r="T140" s="15" t="str">
        <x:v>manual_exchange_review_pass_pending_T08</x:v>
      </x:c>
      <x:c r="U140" s="15" t="str">
        <x:v>B_transcript_adjudication_candidate</x:v>
      </x:c>
      <x:c r="V140" s="16" t="str">
        <x:v>not_started</x:v>
      </x:c>
      <x:c r="W140" s="16"/>
      <x:c r="X140" s="16"/>
      <x:c r="Y140" s="16"/>
      <x:c r="Z140" s="16"/>
      <x:c r="AA140" s="16"/>
      <x:c r="AB140" s="16"/>
      <x:c r="AC140" s="16"/>
      <x:c r="AD140" s="16"/>
      <x:c r="AE140" s="16"/>
      <x:c r="AF140" s="16"/>
      <x:c r="AG140" s="16"/>
      <x:c r="AH140" s="16"/>
      <x:c r="AI140" s="16"/>
      <x:c r="AJ140" s="16"/>
      <x:c r="AK140" s="16"/>
      <x:c r="AL140" s="16"/>
      <x:c r="AM140" s="16"/>
      <x:c r="AN140" s="16"/>
      <x:c r="AO140" s="16"/>
      <x:c r="AP140" s="16"/>
      <x:c r="AQ140" s="16"/>
      <x:c r="AR140" s="16"/>
      <x:c r="AS140" s="16"/>
      <x:c r="AT140" s="20"/>
      <x:c r="AU140" s="16"/>
      <x:c r="AV140" s="16"/>
      <x:c r="AW140" s="16" t="str">
        <x:v>pending</x:v>
      </x:c>
      <x:c r="AX140" s="17" t="str">
        <x:v>blocked_not_validated</x:v>
      </x:c>
      <x:c r="AY140" s="18" t="str">
        <x:f>IF(OR(C140="yes",X140="corrected",COUNTIF(Z140:AL140,"major")&gt;0,COUNTIF(Z140:AL140,"blocker")&gt;0,OR(AO140="repair",AO140="segment",AO140="replace",AO140="block")),"yes","no")</x:f>
        <x:v>no</x:v>
      </x:c>
      <x:c r="AZ140" s="18" t="str">
        <x:f>IF(AND(V140="reviewed",W140&gt;=1,X140&lt;&gt;"",Y140&lt;&gt;"",COUNTA(Z140:AL140)=13,AM140&lt;&gt;"",AN140&lt;&gt;"",AO140&lt;&gt;"",AP140&lt;&gt;"",AQ140&lt;&gt;"",AR140&lt;&gt;"",AS140="I_listened_at_1x_and_completed_all_required_fields",AT140&lt;&gt;"",AW140="adjudicated",OR(AY140="no",AND(AU140&lt;&gt;"",AV140&lt;&gt;""))),"complete","incomplete")</x:f>
        <x:v>incomplete</x:v>
      </x:c>
      <x:c r="BA140" s="18" t="str">
        <x:f>IF(AZ140="complete","none","faltan campos humanos, adjudicación o segunda revisión")</x:f>
        <x:v>faltan campos humanos, adjudicación o segunda revisión</x:v>
      </x:c>
    </x:row>
    <x:row r="141" ht="36" customHeight="1">
      <x:c r="A141" s="15" t="n">
        <x:v>140</x:v>
      </x:c>
      <x:c r="B141" s="15" t="str">
        <x:v>P1-LONG</x:v>
      </x:c>
      <x:c r="C141" s="15" t="str">
        <x:v>no</x:v>
      </x:c>
      <x:c r="D141" s="15" t="str">
        <x:v>asset:toefl:set-16:part-6:conversation</x:v>
      </x:c>
      <x:c r="E141" s="15" t="str">
        <x:v>set-16</x:v>
      </x:c>
      <x:c r="F141" s="15" t="str">
        <x:v>Listen to a Conversation</x:v>
      </x:c>
      <x:c r="G141" s="15" t="str">
        <x:v>/Users/josedavidduartesilva/Developer/idiomaswl/public/audio/toefl/set-16/conversation.mp3</x:v>
      </x:c>
      <x:c r="H141" s="19" t="n">
        <x:v>87</x:v>
      </x:c>
      <x:c r="I141" s="15" t="str">
        <x:v>P1</x:v>
      </x:c>
      <x:c r="J141" s="15" t="str">
        <x:v>100_percent_required_T08_T15</x:v>
      </x:c>
      <x:c r="K141" s="15" t="str">
        <x:v>pass_automated_T06</x:v>
      </x:c>
      <x:c r="L141" s="15" t="str">
        <x:v>none</x:v>
      </x:c>
      <x:c r="M141" s="15" t="str">
        <x:v>none</x:v>
      </x:c>
      <x:c r="N141" s="15" t="str">
        <x:v>conserve_source_technical_candidate</x:v>
      </x:c>
      <x:c r="O141" s="15" t="str">
        <x:v>source_exact_normalized_supported_pending_human</x:v>
      </x:c>
      <x:c r="P141" s="15" t="str">
        <x:v>LING-LEN-001</x:v>
      </x:c>
      <x:c r="Q141" s="15" t="str">
        <x:v>STUDENT: Professor Alvarez, I wanted to ask about the essay topic. You gave us a list, but I was wondering if I could write about something not on it.
PROFESSOR: That depends. What did you have in mind?
STUDENT: I'm really interested in how music affects memory. I read an article about it and I'd love to explore it more.
PROFESSOR: That's a fascinating topic. It's certainly relevant to the course, since we've been discussing how the brain processes information. I'm happy for you to pursue it — but with one condition.
STUDENT: Of course. What's that?
PROFESSOR: I want you to base your argument on research studies, not just the popular article. It's easy to find dramatic claims about music and the brain online, but many aren't well supported. Find at least three peer-reviewed studies and build your essay around what the evidence actually shows.
STUDENT: That makes sense. I don't really know how to find peer-reviewed studies, though.
PROFESSOR: Start with the library's databases — not a general search engine. If you go to the library's website and look under "academic databases," you can search for scholarly articles. And if you get stuck, the research librarians are excellent at helping with exactly this.
STUDENT: Great, I'll do that. Thank you for letting me choose my own topic.
PROFESSOR: My pleasure. Email me your three sources once you've found them, and I'll let you know if you're on the right track.</x:v>
      </x:c>
      <x:c r="R141" s="15" t="str">
        <x:v>Professor Alvarez, I wanted to ask about the essay topic. You gave us a list, but I was wondering if I could write about something not on it. That depends. What did you have in mind? I'm really interested in how music affects memory. I read an article about it, and I'd love to explore it more. That's a fascinating topic. It's certainly relevant to the course, since we've been discussing how the brain processes information. I'm happy for you to pursue it, but with one condition. Of course, what's that? I want you to base your argument on research studies, not just the popular article. It's easy to find dramatic claims about music and the brain online, but many aren't well supported. Find at least three peer-reviewed studies and build your essay around what the evidence actually shows. That makes sense. I don't really know how to find peer-reviewed studies, though. Start with the library's databases, not a general search engine. If you go to the library's website and look under Academic Databases, you can search for scholarly articles. And if you get stuck, the research librarians are excellent at helping with exactly this. Great, I'll do that. Thank you for letting me choose my own topic. My pleasure. Email me your three sources once you've found them, and I'll let you know if you're on the right track.</x:v>
      </x:c>
      <x:c r="S141" s="15" t="str">
        <x:v>none</x:v>
      </x:c>
      <x:c r="T141" s="15" t="str">
        <x:v>source_contract_preserved_subject_to_T08</x:v>
      </x:c>
      <x:c r="U141" s="15" t="str">
        <x:v>C_linguistic_segment_or_reframe_candidate</x:v>
      </x:c>
      <x:c r="V141" s="16" t="str">
        <x:v>not_started</x:v>
      </x:c>
      <x:c r="W141" s="16"/>
      <x:c r="X141" s="16"/>
      <x:c r="Y141" s="16"/>
      <x:c r="Z141" s="16"/>
      <x:c r="AA141" s="16"/>
      <x:c r="AB141" s="16"/>
      <x:c r="AC141" s="16"/>
      <x:c r="AD141" s="16"/>
      <x:c r="AE141" s="16"/>
      <x:c r="AF141" s="16"/>
      <x:c r="AG141" s="16"/>
      <x:c r="AH141" s="16"/>
      <x:c r="AI141" s="16"/>
      <x:c r="AJ141" s="16"/>
      <x:c r="AK141" s="16"/>
      <x:c r="AL141" s="16"/>
      <x:c r="AM141" s="16"/>
      <x:c r="AN141" s="16"/>
      <x:c r="AO141" s="16"/>
      <x:c r="AP141" s="16"/>
      <x:c r="AQ141" s="16"/>
      <x:c r="AR141" s="16"/>
      <x:c r="AS141" s="16"/>
      <x:c r="AT141" s="20"/>
      <x:c r="AU141" s="16"/>
      <x:c r="AV141" s="16"/>
      <x:c r="AW141" s="16" t="str">
        <x:v>pending</x:v>
      </x:c>
      <x:c r="AX141" s="17" t="str">
        <x:v>blocked_not_validated</x:v>
      </x:c>
      <x:c r="AY141" s="18" t="str">
        <x:f>IF(OR(C141="yes",X141="corrected",COUNTIF(Z141:AL141,"major")&gt;0,COUNTIF(Z141:AL141,"blocker")&gt;0,OR(AO141="repair",AO141="segment",AO141="replace",AO141="block")),"yes","no")</x:f>
        <x:v>no</x:v>
      </x:c>
      <x:c r="AZ141" s="18" t="str">
        <x:f>IF(AND(V141="reviewed",W141&gt;=1,X141&lt;&gt;"",Y141&lt;&gt;"",COUNTA(Z141:AL141)=13,AM141&lt;&gt;"",AN141&lt;&gt;"",AO141&lt;&gt;"",AP141&lt;&gt;"",AQ141&lt;&gt;"",AR141&lt;&gt;"",AS141="I_listened_at_1x_and_completed_all_required_fields",AT141&lt;&gt;"",AW141="adjudicated",OR(AY141="no",AND(AU141&lt;&gt;"",AV141&lt;&gt;""))),"complete","incomplete")</x:f>
        <x:v>incomplete</x:v>
      </x:c>
      <x:c r="BA141" s="18" t="str">
        <x:f>IF(AZ141="complete","none","faltan campos humanos, adjudicación o segunda revisión")</x:f>
        <x:v>faltan campos humanos, adjudicación o segunda revisión</x:v>
      </x:c>
    </x:row>
    <x:row r="142" ht="36" customHeight="1">
      <x:c r="A142" s="15" t="n">
        <x:v>141</x:v>
      </x:c>
      <x:c r="B142" s="15" t="str">
        <x:v>P1-LONG</x:v>
      </x:c>
      <x:c r="C142" s="15" t="str">
        <x:v>no</x:v>
      </x:c>
      <x:c r="D142" s="15" t="str">
        <x:v>asset:toefl:set-16:part-7:announcement</x:v>
      </x:c>
      <x:c r="E142" s="15" t="str">
        <x:v>set-16</x:v>
      </x:c>
      <x:c r="F142" s="15" t="str">
        <x:v>Listen to an Announcement</x:v>
      </x:c>
      <x:c r="G142" s="15" t="str">
        <x:v>/Users/josedavidduartesilva/Developer/idiomaswl/public/audio/toefl/set-16/announcement.mp3</x:v>
      </x:c>
      <x:c r="H142" s="19" t="n">
        <x:v>49.38</x:v>
      </x:c>
      <x:c r="I142" s="15" t="str">
        <x:v>P1</x:v>
      </x:c>
      <x:c r="J142" s="15" t="str">
        <x:v>100_percent_required_T08_T15</x:v>
      </x:c>
      <x:c r="K142" s="15" t="str">
        <x:v>pass_automated_T06</x:v>
      </x:c>
      <x:c r="L142" s="15" t="str">
        <x:v>none</x:v>
      </x:c>
      <x:c r="M142" s="15" t="str">
        <x:v>none</x:v>
      </x:c>
      <x:c r="N142" s="15" t="str">
        <x:v>conserve_source_technical_candidate</x:v>
      </x:c>
      <x:c r="O142" s="15" t="str">
        <x:v>source_exact_normalized_supported_pending_human</x:v>
      </x:c>
      <x:c r="P142" s="15" t="str">
        <x:v>LING-LEN-001</x:v>
      </x:c>
      <x:c r="Q142" s="15" t="str">
        <x:v>Good morning, everyone. This is an announcement about the campus health center. Starting next week, the health center will offer free flu vaccinations to all students and staff. The vaccine is strongly recommended, especially as we head into the colder months when flu spreads more easily.
No appointment is needed — simply walk in during opening hours, which are nine a.m. to five p.m., Monday through Friday. Please bring your student or staff ID card. The vaccination takes only a few minutes, and you can return to your day immediately afterward. If you have a medical condition or any concerns about the vaccine, please speak to one of our nurses first; they'll be glad to answer your questions. Protecting yourself also helps protect those around you, including classmates and family members who may be more vulnerable. Thank you.</x:v>
      </x:c>
      <x:c r="R142" s="15" t="str">
        <x:v>Good morning everyone. This is an announcement about the Campus Health Center. Starting next week, the Health Center will offer free flu vaccinations to all students and staff. The vaccine is strongly recommended, especially as we head into the colder months when flu spreads more easily. No appointment is needed. Simply walk in during opening hours, which are 9 a.m. to 5 p.m. Monday through Friday. Please bring your student or staff ID card. The vaccination takes only a few minutes and you can return to your day immediately afterward. If you have a medical condition or any concerns about the vaccine, please speak to one of our nurses first. They'll be glad to answer your questions. Protecting yourself also helps protect those around you, including classmates and family members who may be more vulnerable. Thank you.</x:v>
      </x:c>
      <x:c r="S142" s="15" t="str">
        <x:v>none</x:v>
      </x:c>
      <x:c r="T142" s="15" t="str">
        <x:v>source_contract_preserved_subject_to_T08</x:v>
      </x:c>
      <x:c r="U142" s="15" t="str">
        <x:v>C_linguistic_segment_or_reframe_candidate</x:v>
      </x:c>
      <x:c r="V142" s="16" t="str">
        <x:v>not_started</x:v>
      </x:c>
      <x:c r="W142" s="16"/>
      <x:c r="X142" s="16"/>
      <x:c r="Y142" s="16"/>
      <x:c r="Z142" s="16"/>
      <x:c r="AA142" s="16"/>
      <x:c r="AB142" s="16"/>
      <x:c r="AC142" s="16"/>
      <x:c r="AD142" s="16"/>
      <x:c r="AE142" s="16"/>
      <x:c r="AF142" s="16"/>
      <x:c r="AG142" s="16"/>
      <x:c r="AH142" s="16"/>
      <x:c r="AI142" s="16"/>
      <x:c r="AJ142" s="16"/>
      <x:c r="AK142" s="16"/>
      <x:c r="AL142" s="16"/>
      <x:c r="AM142" s="16"/>
      <x:c r="AN142" s="16"/>
      <x:c r="AO142" s="16"/>
      <x:c r="AP142" s="16"/>
      <x:c r="AQ142" s="16"/>
      <x:c r="AR142" s="16"/>
      <x:c r="AS142" s="16"/>
      <x:c r="AT142" s="20"/>
      <x:c r="AU142" s="16"/>
      <x:c r="AV142" s="16"/>
      <x:c r="AW142" s="16" t="str">
        <x:v>pending</x:v>
      </x:c>
      <x:c r="AX142" s="17" t="str">
        <x:v>blocked_not_validated</x:v>
      </x:c>
      <x:c r="AY142" s="18" t="str">
        <x:f>IF(OR(C142="yes",X142="corrected",COUNTIF(Z142:AL142,"major")&gt;0,COUNTIF(Z142:AL142,"blocker")&gt;0,OR(AO142="repair",AO142="segment",AO142="replace",AO142="block")),"yes","no")</x:f>
        <x:v>no</x:v>
      </x:c>
      <x:c r="AZ142" s="18" t="str">
        <x:f>IF(AND(V142="reviewed",W142&gt;=1,X142&lt;&gt;"",Y142&lt;&gt;"",COUNTA(Z142:AL142)=13,AM142&lt;&gt;"",AN142&lt;&gt;"",AO142&lt;&gt;"",AP142&lt;&gt;"",AQ142&lt;&gt;"",AR142&lt;&gt;"",AS142="I_listened_at_1x_and_completed_all_required_fields",AT142&lt;&gt;"",AW142="adjudicated",OR(AY142="no",AND(AU142&lt;&gt;"",AV142&lt;&gt;""))),"complete","incomplete")</x:f>
        <x:v>incomplete</x:v>
      </x:c>
      <x:c r="BA142" s="18" t="str">
        <x:f>IF(AZ142="complete","none","faltan campos humanos, adjudicación o segunda revisión")</x:f>
        <x:v>faltan campos humanos, adjudicación o segunda revisión</x:v>
      </x:c>
    </x:row>
    <x:row r="143" ht="36" customHeight="1">
      <x:c r="A143" s="15" t="n">
        <x:v>142</x:v>
      </x:c>
      <x:c r="B143" s="15" t="str">
        <x:v>P1-LONG</x:v>
      </x:c>
      <x:c r="C143" s="15" t="str">
        <x:v>no</x:v>
      </x:c>
      <x:c r="D143" s="15" t="str">
        <x:v>asset:toefl:set-16:part-8:academic-talk</x:v>
      </x:c>
      <x:c r="E143" s="15" t="str">
        <x:v>set-16</x:v>
      </x:c>
      <x:c r="F143" s="15" t="str">
        <x:v>Listen to an Academic Talk</x:v>
      </x:c>
      <x:c r="G143" s="15" t="str">
        <x:v>/Users/josedavidduartesilva/Developer/idiomaswl/public/audio/toefl/set-16/academic-talk.mp3</x:v>
      </x:c>
      <x:c r="H143" s="19" t="n">
        <x:v>139.94</x:v>
      </x:c>
      <x:c r="I143" s="15" t="str">
        <x:v>P1</x:v>
      </x:c>
      <x:c r="J143" s="15" t="str">
        <x:v>100_percent_required_T08_T15</x:v>
      </x:c>
      <x:c r="K143" s="15" t="str">
        <x:v>fail_actionable</x:v>
      </x:c>
      <x:c r="L143" s="15" t="str">
        <x:v>TECH-LDN-002</x:v>
      </x:c>
      <x:c r="M143" s="15" t="str">
        <x:v>none</x:v>
      </x:c>
      <x:c r="N143" s="15" t="str">
        <x:v>measure_gain_create_versioned_normalized_variant</x:v>
      </x:c>
      <x:c r="O143" s="15" t="str">
        <x:v>source_material_diff_pending_human</x:v>
      </x:c>
      <x:c r="P143" s="15" t="str">
        <x:v>LING-DIFF-001;LING-CRIT-001;TECH-T06-FAIL;LING-LEN-002</x:v>
      </x:c>
      <x:c r="Q143" s="15" t="str">
        <x:v>PROFESSOR: Today I want to talk about one of the most counterintuitive and powerful ideas in economics and biology alike: the tragedy of the commons. It describes what happens when many individuals, each acting in their own rational self-interest, end up destroying a shared resource that they all depend on.
The classic example, from which the idea gets its name, is a shared pasture — a "commons" — open to all the herders in a village. Each herder benefits from adding more of their own animals to graze. From any single herder's point of view, adding one more cow is clearly worthwhile: they get all the benefit of that extra cow, while the cost — a little more wear on the shared pasture — is spread across everyone. So every rational herder keeps adding animals. But if all of them follow this same logic, the pasture is overgrazed and destroyed, and everyone loses. The tragedy is that individually rational choices lead to a collectively disastrous outcome.
This pattern appears far beyond pastures. Overfishing is a textbook case: each fishing boat has an incentive to catch as much as possible, but if all boats do so, the fish stock collapses and no one can fish. The same logic applies to air pollution, traffic congestion, and the overuse of shared water supplies. In each case, the benefits of overuse are private, while the costs are shared — a recipe for depletion.
So what can be done? Scholars have identified several solutions. One is regulation: a government sets and enforces limits, such as fishing quotas. Another is privatization: dividing the shared resource so that each owner bears the full cost of overusing their portion. But there's a third solution that the political scientist Elinor Ostrom demonstrated, winning a Nobel Prize for it. She showed that communities can, and often do, manage shared resources sustainably on their own — by creating their own rules, monitoring each other, and building trust. The tragedy, in other words, is not inevitable. It's a risk we can avoid through cooperation and good institutions.</x:v>
      </x:c>
      <x:c r="R143" s="15" t="str">
        <x:v>Today I want to talk about one of the most counter-intuitive and powerful ideas in economics and biology alike, the tragedy of the commons. It describes what happens when many individuals, each acting in their own rational self-interest, end up destroying a shared resource that they all depend on. The classic example from which the idea gets its name is a shared pasture, a commons, open to all the herders in a village. Each herder benefits from adding more of their own animals to graze. From any single herder's point of view, adding one more cow is clearly worthwhile. They get all the benefit of that extra cow, while the cost, a little more wear on the shared pasture, is spread across everyone. So every rational herder keeps adding animals. But if all of them follow this same logic, the pasture is overgrazed and destroyed and everyone loses. The tragedy is that individually rational choices lead to a collectively disastrous outcome. This pattern appears far beyond pastures. Overfishing is a textbook case. Each fishing boat has an incentive to catch as much as possible. But if all boats do so, the fish stock collapses and no one can fish. The same logic applies to air pollution, traffic congestion, and the overuse of shared water supplies. In each case, the benefits of overuse are private, while the costs are shared. A recipe for depletion. So what can be done? Scholars have identified several solutions. One is regulation. A government sets and enforces limits, such as fishing quotas. Another is privatization, dividing the shared resource so that each owner bears the full cost of overusing their portion. But there's a third solution that the political scientist Eleanor Ostrom demonstrated, winning a Nobel Prize for it. She showed that communities can, and often do, manage shared resources sustainably on their own, by creating their own rules, monitoring each other, and building trust. The tragedy, in other words, is not inevitable. It's a risk we can avoid through cooperation and good institutions.</x:v>
      </x:c>
      <x:c r="S143" s="15" t="str">
        <x:v>I:counter | S:counterintuitive→intuitive | S:elinor→eleanor</x:v>
      </x:c>
      <x:c r="T143" s="15" t="str">
        <x:v>source_contract_preserved_subject_to_T08</x:v>
      </x:c>
      <x:c r="U143" s="15" t="str">
        <x:v>C_linguistic_segment_or_reframe_candidate</x:v>
      </x:c>
      <x:c r="V143" s="16" t="str">
        <x:v>not_started</x:v>
      </x:c>
      <x:c r="W143" s="16"/>
      <x:c r="X143" s="16"/>
      <x:c r="Y143" s="16"/>
      <x:c r="Z143" s="16"/>
      <x:c r="AA143" s="16"/>
      <x:c r="AB143" s="16"/>
      <x:c r="AC143" s="16"/>
      <x:c r="AD143" s="16"/>
      <x:c r="AE143" s="16"/>
      <x:c r="AF143" s="16"/>
      <x:c r="AG143" s="16"/>
      <x:c r="AH143" s="16"/>
      <x:c r="AI143" s="16"/>
      <x:c r="AJ143" s="16"/>
      <x:c r="AK143" s="16"/>
      <x:c r="AL143" s="16"/>
      <x:c r="AM143" s="16"/>
      <x:c r="AN143" s="16"/>
      <x:c r="AO143" s="16"/>
      <x:c r="AP143" s="16"/>
      <x:c r="AQ143" s="16"/>
      <x:c r="AR143" s="16"/>
      <x:c r="AS143" s="16"/>
      <x:c r="AT143" s="20"/>
      <x:c r="AU143" s="16"/>
      <x:c r="AV143" s="16"/>
      <x:c r="AW143" s="16" t="str">
        <x:v>pending</x:v>
      </x:c>
      <x:c r="AX143" s="17" t="str">
        <x:v>blocked_not_validated</x:v>
      </x:c>
      <x:c r="AY143" s="18" t="str">
        <x:f>IF(OR(C143="yes",X143="corrected",COUNTIF(Z143:AL143,"major")&gt;0,COUNTIF(Z143:AL143,"blocker")&gt;0,OR(AO143="repair",AO143="segment",AO143="replace",AO143="block")),"yes","no")</x:f>
        <x:v>no</x:v>
      </x:c>
      <x:c r="AZ143" s="18" t="str">
        <x:f>IF(AND(V143="reviewed",W143&gt;=1,X143&lt;&gt;"",Y143&lt;&gt;"",COUNTA(Z143:AL143)=13,AM143&lt;&gt;"",AN143&lt;&gt;"",AO143&lt;&gt;"",AP143&lt;&gt;"",AQ143&lt;&gt;"",AR143&lt;&gt;"",AS143="I_listened_at_1x_and_completed_all_required_fields",AT143&lt;&gt;"",AW143="adjudicated",OR(AY143="no",AND(AU143&lt;&gt;"",AV143&lt;&gt;""))),"complete","incomplete")</x:f>
        <x:v>incomplete</x:v>
      </x:c>
      <x:c r="BA143" s="18" t="str">
        <x:f>IF(AZ143="complete","none","faltan campos humanos, adjudicación o segunda revisión")</x:f>
        <x:v>faltan campos humanos, adjudicación o segunda revisión</x:v>
      </x:c>
    </x:row>
    <x:row r="144" ht="36" customHeight="1">
      <x:c r="A144" s="15" t="n">
        <x:v>143</x:v>
      </x:c>
      <x:c r="B144" s="15" t="str">
        <x:v>P1-CHOOSE</x:v>
      </x:c>
      <x:c r="C144" s="15" t="str">
        <x:v>no</x:v>
      </x:c>
      <x:c r="D144" s="15" t="str">
        <x:v>asset:toefl:set-17:part-5:listen-choose-1</x:v>
      </x:c>
      <x:c r="E144" s="15" t="str">
        <x:v>set-17</x:v>
      </x:c>
      <x:c r="F144" s="15" t="str">
        <x:v>Listen and Choose a Response</x:v>
      </x:c>
      <x:c r="G144" s="15" t="str">
        <x:v>/Users/josedavidduartesilva/Developer/idiomaswl/public/audio/toefl/set-17/listen-choose-1.mp3</x:v>
      </x:c>
      <x:c r="H144" s="19" t="n">
        <x:v>3.38</x:v>
      </x:c>
      <x:c r="I144" s="15" t="str">
        <x:v>P1</x:v>
      </x:c>
      <x:c r="J144" s="15" t="str">
        <x:v>100_percent_required_T08</x:v>
      </x:c>
      <x:c r="K144" s="15" t="str">
        <x:v>pass_automated_T06</x:v>
      </x:c>
      <x:c r="L144" s="15" t="str">
        <x:v>none</x:v>
      </x:c>
      <x:c r="M144" s="15" t="str">
        <x:v>none</x:v>
      </x:c>
      <x:c r="N144" s="15" t="str">
        <x:v>conserve_source_technical_candidate</x:v>
      </x:c>
      <x:c r="O144" s="15" t="str">
        <x:v>asr_candidate_recovered_pending_human</x:v>
      </x:c>
      <x:c r="P144" s="15" t="str">
        <x:v>LING-SOURCE-001;LING-STRESS-001</x:v>
      </x:c>
      <x:c r="Q144" s="15" t="str"/>
      <x:c r="R144" s="15" t="str">
        <x:v>Excuse me, could you tell me where the campus bookstore is?</x:v>
      </x:c>
      <x:c r="S144" s="15" t="str">
        <x:v>no_source_candidate</x:v>
      </x:c>
      <x:c r="T144" s="15" t="str">
        <x:v>manual_exchange_review_pass_pending_T08</x:v>
      </x:c>
      <x:c r="U144" s="15" t="str">
        <x:v>B_transcript_adjudication_candidate</x:v>
      </x:c>
      <x:c r="V144" s="16" t="str">
        <x:v>not_started</x:v>
      </x:c>
      <x:c r="W144" s="16"/>
      <x:c r="X144" s="16"/>
      <x:c r="Y144" s="16"/>
      <x:c r="Z144" s="16"/>
      <x:c r="AA144" s="16"/>
      <x:c r="AB144" s="16"/>
      <x:c r="AC144" s="16"/>
      <x:c r="AD144" s="16"/>
      <x:c r="AE144" s="16"/>
      <x:c r="AF144" s="16"/>
      <x:c r="AG144" s="16"/>
      <x:c r="AH144" s="16"/>
      <x:c r="AI144" s="16"/>
      <x:c r="AJ144" s="16"/>
      <x:c r="AK144" s="16"/>
      <x:c r="AL144" s="16"/>
      <x:c r="AM144" s="16"/>
      <x:c r="AN144" s="16"/>
      <x:c r="AO144" s="16"/>
      <x:c r="AP144" s="16"/>
      <x:c r="AQ144" s="16"/>
      <x:c r="AR144" s="16"/>
      <x:c r="AS144" s="16"/>
      <x:c r="AT144" s="20"/>
      <x:c r="AU144" s="16"/>
      <x:c r="AV144" s="16"/>
      <x:c r="AW144" s="16" t="str">
        <x:v>pending</x:v>
      </x:c>
      <x:c r="AX144" s="17" t="str">
        <x:v>blocked_not_validated</x:v>
      </x:c>
      <x:c r="AY144" s="18" t="str">
        <x:f>IF(OR(C144="yes",X144="corrected",COUNTIF(Z144:AL144,"major")&gt;0,COUNTIF(Z144:AL144,"blocker")&gt;0,OR(AO144="repair",AO144="segment",AO144="replace",AO144="block")),"yes","no")</x:f>
        <x:v>no</x:v>
      </x:c>
      <x:c r="AZ144" s="18" t="str">
        <x:f>IF(AND(V144="reviewed",W144&gt;=1,X144&lt;&gt;"",Y144&lt;&gt;"",COUNTA(Z144:AL144)=13,AM144&lt;&gt;"",AN144&lt;&gt;"",AO144&lt;&gt;"",AP144&lt;&gt;"",AQ144&lt;&gt;"",AR144&lt;&gt;"",AS144="I_listened_at_1x_and_completed_all_required_fields",AT144&lt;&gt;"",AW144="adjudicated",OR(AY144="no",AND(AU144&lt;&gt;"",AV144&lt;&gt;""))),"complete","incomplete")</x:f>
        <x:v>incomplete</x:v>
      </x:c>
      <x:c r="BA144" s="18" t="str">
        <x:f>IF(AZ144="complete","none","faltan campos humanos, adjudicación o segunda revisión")</x:f>
        <x:v>faltan campos humanos, adjudicación o segunda revisión</x:v>
      </x:c>
    </x:row>
    <x:row r="145" ht="36" customHeight="1">
      <x:c r="A145" s="15" t="n">
        <x:v>144</x:v>
      </x:c>
      <x:c r="B145" s="15" t="str">
        <x:v>P1-CHOOSE</x:v>
      </x:c>
      <x:c r="C145" s="15" t="str">
        <x:v>no</x:v>
      </x:c>
      <x:c r="D145" s="15" t="str">
        <x:v>asset:toefl:set-17:part-5:listen-choose-2</x:v>
      </x:c>
      <x:c r="E145" s="15" t="str">
        <x:v>set-17</x:v>
      </x:c>
      <x:c r="F145" s="15" t="str">
        <x:v>Listen and Choose a Response</x:v>
      </x:c>
      <x:c r="G145" s="15" t="str">
        <x:v>/Users/josedavidduartesilva/Developer/idiomaswl/public/audio/toefl/set-17/listen-choose-2.mp3</x:v>
      </x:c>
      <x:c r="H145" s="19" t="n">
        <x:v>3.78</x:v>
      </x:c>
      <x:c r="I145" s="15" t="str">
        <x:v>P1</x:v>
      </x:c>
      <x:c r="J145" s="15" t="str">
        <x:v>100_percent_required_T08</x:v>
      </x:c>
      <x:c r="K145" s="15" t="str">
        <x:v>pass_with_actionable_warning</x:v>
      </x:c>
      <x:c r="L145" s="15" t="str">
        <x:v>none</x:v>
      </x:c>
      <x:c r="M145" s="15" t="str">
        <x:v>TECH-PEAK-003</x:v>
      </x:c>
      <x:c r="N145" s="15" t="str">
        <x:v>review_warning_in_T08_before_conserve</x:v>
      </x:c>
      <x:c r="O145" s="15" t="str">
        <x:v>asr_candidate_recovered_pending_human</x:v>
      </x:c>
      <x:c r="P145" s="15" t="str">
        <x:v>LING-SOURCE-001;LING-STRESS-001</x:v>
      </x:c>
      <x:c r="Q145" s="15" t="str"/>
      <x:c r="R145" s="15" t="str">
        <x:v>Can we get together to study for the exam later today?</x:v>
      </x:c>
      <x:c r="S145" s="15" t="str">
        <x:v>no_source_candidate</x:v>
      </x:c>
      <x:c r="T145" s="15" t="str">
        <x:v>manual_exchange_review_pass_pending_T08</x:v>
      </x:c>
      <x:c r="U145" s="15" t="str">
        <x:v>B_transcript_adjudication_candidate</x:v>
      </x:c>
      <x:c r="V145" s="16" t="str">
        <x:v>not_started</x:v>
      </x:c>
      <x:c r="W145" s="16"/>
      <x:c r="X145" s="16"/>
      <x:c r="Y145" s="16"/>
      <x:c r="Z145" s="16"/>
      <x:c r="AA145" s="16"/>
      <x:c r="AB145" s="16"/>
      <x:c r="AC145" s="16"/>
      <x:c r="AD145" s="16"/>
      <x:c r="AE145" s="16"/>
      <x:c r="AF145" s="16"/>
      <x:c r="AG145" s="16"/>
      <x:c r="AH145" s="16"/>
      <x:c r="AI145" s="16"/>
      <x:c r="AJ145" s="16"/>
      <x:c r="AK145" s="16"/>
      <x:c r="AL145" s="16"/>
      <x:c r="AM145" s="16"/>
      <x:c r="AN145" s="16"/>
      <x:c r="AO145" s="16"/>
      <x:c r="AP145" s="16"/>
      <x:c r="AQ145" s="16"/>
      <x:c r="AR145" s="16"/>
      <x:c r="AS145" s="16"/>
      <x:c r="AT145" s="20"/>
      <x:c r="AU145" s="16"/>
      <x:c r="AV145" s="16"/>
      <x:c r="AW145" s="16" t="str">
        <x:v>pending</x:v>
      </x:c>
      <x:c r="AX145" s="17" t="str">
        <x:v>blocked_not_validated</x:v>
      </x:c>
      <x:c r="AY145" s="18" t="str">
        <x:f>IF(OR(C145="yes",X145="corrected",COUNTIF(Z145:AL145,"major")&gt;0,COUNTIF(Z145:AL145,"blocker")&gt;0,OR(AO145="repair",AO145="segment",AO145="replace",AO145="block")),"yes","no")</x:f>
        <x:v>no</x:v>
      </x:c>
      <x:c r="AZ145" s="18" t="str">
        <x:f>IF(AND(V145="reviewed",W145&gt;=1,X145&lt;&gt;"",Y145&lt;&gt;"",COUNTA(Z145:AL145)=13,AM145&lt;&gt;"",AN145&lt;&gt;"",AO145&lt;&gt;"",AP145&lt;&gt;"",AQ145&lt;&gt;"",AR145&lt;&gt;"",AS145="I_listened_at_1x_and_completed_all_required_fields",AT145&lt;&gt;"",AW145="adjudicated",OR(AY145="no",AND(AU145&lt;&gt;"",AV145&lt;&gt;""))),"complete","incomplete")</x:f>
        <x:v>incomplete</x:v>
      </x:c>
      <x:c r="BA145" s="18" t="str">
        <x:f>IF(AZ145="complete","none","faltan campos humanos, adjudicación o segunda revisión")</x:f>
        <x:v>faltan campos humanos, adjudicación o segunda revisión</x:v>
      </x:c>
    </x:row>
    <x:row r="146" ht="36" customHeight="1">
      <x:c r="A146" s="15" t="n">
        <x:v>145</x:v>
      </x:c>
      <x:c r="B146" s="15" t="str">
        <x:v>P1-CHOOSE</x:v>
      </x:c>
      <x:c r="C146" s="15" t="str">
        <x:v>no</x:v>
      </x:c>
      <x:c r="D146" s="15" t="str">
        <x:v>asset:toefl:set-17:part-5:listen-choose-3</x:v>
      </x:c>
      <x:c r="E146" s="15" t="str">
        <x:v>set-17</x:v>
      </x:c>
      <x:c r="F146" s="15" t="str">
        <x:v>Listen and Choose a Response</x:v>
      </x:c>
      <x:c r="G146" s="15" t="str">
        <x:v>/Users/josedavidduartesilva/Developer/idiomaswl/public/audio/toefl/set-17/listen-choose-3.mp3</x:v>
      </x:c>
      <x:c r="H146" s="19" t="n">
        <x:v>2.98</x:v>
      </x:c>
      <x:c r="I146" s="15" t="str">
        <x:v>P1</x:v>
      </x:c>
      <x:c r="J146" s="15" t="str">
        <x:v>100_percent_required_T08</x:v>
      </x:c>
      <x:c r="K146" s="15" t="str">
        <x:v>pass_automated_T06</x:v>
      </x:c>
      <x:c r="L146" s="15" t="str">
        <x:v>none</x:v>
      </x:c>
      <x:c r="M146" s="15" t="str">
        <x:v>none</x:v>
      </x:c>
      <x:c r="N146" s="15" t="str">
        <x:v>conserve_source_technical_candidate</x:v>
      </x:c>
      <x:c r="O146" s="15" t="str">
        <x:v>asr_candidate_recovered_pending_human</x:v>
      </x:c>
      <x:c r="P146" s="15" t="str">
        <x:v>LING-SOURCE-001;LING-STRESS-001</x:v>
      </x:c>
      <x:c r="Q146" s="15" t="str"/>
      <x:c r="R146" s="15" t="str">
        <x:v>Where can I get the registration form for the trip?</x:v>
      </x:c>
      <x:c r="S146" s="15" t="str">
        <x:v>no_source_candidate</x:v>
      </x:c>
      <x:c r="T146" s="15" t="str">
        <x:v>manual_exchange_review_pass_pending_T08</x:v>
      </x:c>
      <x:c r="U146" s="15" t="str">
        <x:v>B_transcript_adjudication_candidate</x:v>
      </x:c>
      <x:c r="V146" s="16" t="str">
        <x:v>not_started</x:v>
      </x:c>
      <x:c r="W146" s="16"/>
      <x:c r="X146" s="16"/>
      <x:c r="Y146" s="16"/>
      <x:c r="Z146" s="16"/>
      <x:c r="AA146" s="16"/>
      <x:c r="AB146" s="16"/>
      <x:c r="AC146" s="16"/>
      <x:c r="AD146" s="16"/>
      <x:c r="AE146" s="16"/>
      <x:c r="AF146" s="16"/>
      <x:c r="AG146" s="16"/>
      <x:c r="AH146" s="16"/>
      <x:c r="AI146" s="16"/>
      <x:c r="AJ146" s="16"/>
      <x:c r="AK146" s="16"/>
      <x:c r="AL146" s="16"/>
      <x:c r="AM146" s="16"/>
      <x:c r="AN146" s="16"/>
      <x:c r="AO146" s="16"/>
      <x:c r="AP146" s="16"/>
      <x:c r="AQ146" s="16"/>
      <x:c r="AR146" s="16"/>
      <x:c r="AS146" s="16"/>
      <x:c r="AT146" s="20"/>
      <x:c r="AU146" s="16"/>
      <x:c r="AV146" s="16"/>
      <x:c r="AW146" s="16" t="str">
        <x:v>pending</x:v>
      </x:c>
      <x:c r="AX146" s="17" t="str">
        <x:v>blocked_not_validated</x:v>
      </x:c>
      <x:c r="AY146" s="18" t="str">
        <x:f>IF(OR(C146="yes",X146="corrected",COUNTIF(Z146:AL146,"major")&gt;0,COUNTIF(Z146:AL146,"blocker")&gt;0,OR(AO146="repair",AO146="segment",AO146="replace",AO146="block")),"yes","no")</x:f>
        <x:v>no</x:v>
      </x:c>
      <x:c r="AZ146" s="18" t="str">
        <x:f>IF(AND(V146="reviewed",W146&gt;=1,X146&lt;&gt;"",Y146&lt;&gt;"",COUNTA(Z146:AL146)=13,AM146&lt;&gt;"",AN146&lt;&gt;"",AO146&lt;&gt;"",AP146&lt;&gt;"",AQ146&lt;&gt;"",AR146&lt;&gt;"",AS146="I_listened_at_1x_and_completed_all_required_fields",AT146&lt;&gt;"",AW146="adjudicated",OR(AY146="no",AND(AU146&lt;&gt;"",AV146&lt;&gt;""))),"complete","incomplete")</x:f>
        <x:v>incomplete</x:v>
      </x:c>
      <x:c r="BA146" s="18" t="str">
        <x:f>IF(AZ146="complete","none","faltan campos humanos, adjudicación o segunda revisión")</x:f>
        <x:v>faltan campos humanos, adjudicación o segunda revisión</x:v>
      </x:c>
    </x:row>
    <x:row r="147" ht="36" customHeight="1">
      <x:c r="A147" s="15" t="n">
        <x:v>146</x:v>
      </x:c>
      <x:c r="B147" s="15" t="str">
        <x:v>P1-CHOOSE</x:v>
      </x:c>
      <x:c r="C147" s="15" t="str">
        <x:v>no</x:v>
      </x:c>
      <x:c r="D147" s="15" t="str">
        <x:v>asset:toefl:set-17:part-5:listen-choose-4</x:v>
      </x:c>
      <x:c r="E147" s="15" t="str">
        <x:v>set-17</x:v>
      </x:c>
      <x:c r="F147" s="15" t="str">
        <x:v>Listen and Choose a Response</x:v>
      </x:c>
      <x:c r="G147" s="15" t="str">
        <x:v>/Users/josedavidduartesilva/Developer/idiomaswl/public/audio/toefl/set-17/listen-choose-4.mp3</x:v>
      </x:c>
      <x:c r="H147" s="19" t="n">
        <x:v>3.38</x:v>
      </x:c>
      <x:c r="I147" s="15" t="str">
        <x:v>P1</x:v>
      </x:c>
      <x:c r="J147" s="15" t="str">
        <x:v>100_percent_required_T08</x:v>
      </x:c>
      <x:c r="K147" s="15" t="str">
        <x:v>pass_automated_T06</x:v>
      </x:c>
      <x:c r="L147" s="15" t="str">
        <x:v>none</x:v>
      </x:c>
      <x:c r="M147" s="15" t="str">
        <x:v>none</x:v>
      </x:c>
      <x:c r="N147" s="15" t="str">
        <x:v>conserve_source_technical_candidate</x:v>
      </x:c>
      <x:c r="O147" s="15" t="str">
        <x:v>asr_candidate_recovered_pending_human</x:v>
      </x:c>
      <x:c r="P147" s="15" t="str">
        <x:v>LING-SOURCE-001;LING-STRESS-001</x:v>
      </x:c>
      <x:c r="Q147" s="15" t="str"/>
      <x:c r="R147" s="15" t="str">
        <x:v>Could you share the presentation slides with the rest of the group?</x:v>
      </x:c>
      <x:c r="S147" s="15" t="str">
        <x:v>no_source_candidate</x:v>
      </x:c>
      <x:c r="T147" s="15" t="str">
        <x:v>manual_exchange_review_pass_pending_T08</x:v>
      </x:c>
      <x:c r="U147" s="15" t="str">
        <x:v>B_transcript_adjudication_candidate</x:v>
      </x:c>
      <x:c r="V147" s="16" t="str">
        <x:v>not_started</x:v>
      </x:c>
      <x:c r="W147" s="16"/>
      <x:c r="X147" s="16"/>
      <x:c r="Y147" s="16"/>
      <x:c r="Z147" s="16"/>
      <x:c r="AA147" s="16"/>
      <x:c r="AB147" s="16"/>
      <x:c r="AC147" s="16"/>
      <x:c r="AD147" s="16"/>
      <x:c r="AE147" s="16"/>
      <x:c r="AF147" s="16"/>
      <x:c r="AG147" s="16"/>
      <x:c r="AH147" s="16"/>
      <x:c r="AI147" s="16"/>
      <x:c r="AJ147" s="16"/>
      <x:c r="AK147" s="16"/>
      <x:c r="AL147" s="16"/>
      <x:c r="AM147" s="16"/>
      <x:c r="AN147" s="16"/>
      <x:c r="AO147" s="16"/>
      <x:c r="AP147" s="16"/>
      <x:c r="AQ147" s="16"/>
      <x:c r="AR147" s="16"/>
      <x:c r="AS147" s="16"/>
      <x:c r="AT147" s="20"/>
      <x:c r="AU147" s="16"/>
      <x:c r="AV147" s="16"/>
      <x:c r="AW147" s="16" t="str">
        <x:v>pending</x:v>
      </x:c>
      <x:c r="AX147" s="17" t="str">
        <x:v>blocked_not_validated</x:v>
      </x:c>
      <x:c r="AY147" s="18" t="str">
        <x:f>IF(OR(C147="yes",X147="corrected",COUNTIF(Z147:AL147,"major")&gt;0,COUNTIF(Z147:AL147,"blocker")&gt;0,OR(AO147="repair",AO147="segment",AO147="replace",AO147="block")),"yes","no")</x:f>
        <x:v>no</x:v>
      </x:c>
      <x:c r="AZ147" s="18" t="str">
        <x:f>IF(AND(V147="reviewed",W147&gt;=1,X147&lt;&gt;"",Y147&lt;&gt;"",COUNTA(Z147:AL147)=13,AM147&lt;&gt;"",AN147&lt;&gt;"",AO147&lt;&gt;"",AP147&lt;&gt;"",AQ147&lt;&gt;"",AR147&lt;&gt;"",AS147="I_listened_at_1x_and_completed_all_required_fields",AT147&lt;&gt;"",AW147="adjudicated",OR(AY147="no",AND(AU147&lt;&gt;"",AV147&lt;&gt;""))),"complete","incomplete")</x:f>
        <x:v>incomplete</x:v>
      </x:c>
      <x:c r="BA147" s="18" t="str">
        <x:f>IF(AZ147="complete","none","faltan campos humanos, adjudicación o segunda revisión")</x:f>
        <x:v>faltan campos humanos, adjudicación o segunda revisión</x:v>
      </x:c>
    </x:row>
    <x:row r="148" ht="36" customHeight="1">
      <x:c r="A148" s="15" t="n">
        <x:v>147</x:v>
      </x:c>
      <x:c r="B148" s="15" t="str">
        <x:v>P1-CHOOSE</x:v>
      </x:c>
      <x:c r="C148" s="15" t="str">
        <x:v>no</x:v>
      </x:c>
      <x:c r="D148" s="15" t="str">
        <x:v>asset:toefl:set-17:part-5:listen-choose-5</x:v>
      </x:c>
      <x:c r="E148" s="15" t="str">
        <x:v>set-17</x:v>
      </x:c>
      <x:c r="F148" s="15" t="str">
        <x:v>Listen and Choose a Response</x:v>
      </x:c>
      <x:c r="G148" s="15" t="str">
        <x:v>/Users/josedavidduartesilva/Developer/idiomaswl/public/audio/toefl/set-17/listen-choose-5.mp3</x:v>
      </x:c>
      <x:c r="H148" s="19" t="n">
        <x:v>4.26</x:v>
      </x:c>
      <x:c r="I148" s="15" t="str">
        <x:v>P1</x:v>
      </x:c>
      <x:c r="J148" s="15" t="str">
        <x:v>100_percent_required_T08</x:v>
      </x:c>
      <x:c r="K148" s="15" t="str">
        <x:v>pass_automated_T06</x:v>
      </x:c>
      <x:c r="L148" s="15" t="str">
        <x:v>none</x:v>
      </x:c>
      <x:c r="M148" s="15" t="str">
        <x:v>none</x:v>
      </x:c>
      <x:c r="N148" s="15" t="str">
        <x:v>conserve_source_technical_candidate</x:v>
      </x:c>
      <x:c r="O148" s="15" t="str">
        <x:v>asr_candidate_recovered_pending_human</x:v>
      </x:c>
      <x:c r="P148" s="15" t="str">
        <x:v>LING-SOURCE-001;LING-STRESS-001</x:v>
      </x:c>
      <x:c r="Q148" s="15" t="str"/>
      <x:c r="R148" s="15" t="str">
        <x:v>You look thrilled today. Did something wonderful happen over the weekend?</x:v>
      </x:c>
      <x:c r="S148" s="15" t="str">
        <x:v>no_source_candidate</x:v>
      </x:c>
      <x:c r="T148" s="15" t="str">
        <x:v>manual_exchange_review_pass_pending_T08</x:v>
      </x:c>
      <x:c r="U148" s="15" t="str">
        <x:v>B_transcript_adjudication_candidate</x:v>
      </x:c>
      <x:c r="V148" s="16" t="str">
        <x:v>not_started</x:v>
      </x:c>
      <x:c r="W148" s="16"/>
      <x:c r="X148" s="16"/>
      <x:c r="Y148" s="16"/>
      <x:c r="Z148" s="16"/>
      <x:c r="AA148" s="16"/>
      <x:c r="AB148" s="16"/>
      <x:c r="AC148" s="16"/>
      <x:c r="AD148" s="16"/>
      <x:c r="AE148" s="16"/>
      <x:c r="AF148" s="16"/>
      <x:c r="AG148" s="16"/>
      <x:c r="AH148" s="16"/>
      <x:c r="AI148" s="16"/>
      <x:c r="AJ148" s="16"/>
      <x:c r="AK148" s="16"/>
      <x:c r="AL148" s="16"/>
      <x:c r="AM148" s="16"/>
      <x:c r="AN148" s="16"/>
      <x:c r="AO148" s="16"/>
      <x:c r="AP148" s="16"/>
      <x:c r="AQ148" s="16"/>
      <x:c r="AR148" s="16"/>
      <x:c r="AS148" s="16"/>
      <x:c r="AT148" s="20"/>
      <x:c r="AU148" s="16"/>
      <x:c r="AV148" s="16"/>
      <x:c r="AW148" s="16" t="str">
        <x:v>pending</x:v>
      </x:c>
      <x:c r="AX148" s="17" t="str">
        <x:v>blocked_not_validated</x:v>
      </x:c>
      <x:c r="AY148" s="18" t="str">
        <x:f>IF(OR(C148="yes",X148="corrected",COUNTIF(Z148:AL148,"major")&gt;0,COUNTIF(Z148:AL148,"blocker")&gt;0,OR(AO148="repair",AO148="segment",AO148="replace",AO148="block")),"yes","no")</x:f>
        <x:v>no</x:v>
      </x:c>
      <x:c r="AZ148" s="18" t="str">
        <x:f>IF(AND(V148="reviewed",W148&gt;=1,X148&lt;&gt;"",Y148&lt;&gt;"",COUNTA(Z148:AL148)=13,AM148&lt;&gt;"",AN148&lt;&gt;"",AO148&lt;&gt;"",AP148&lt;&gt;"",AQ148&lt;&gt;"",AR148&lt;&gt;"",AS148="I_listened_at_1x_and_completed_all_required_fields",AT148&lt;&gt;"",AW148="adjudicated",OR(AY148="no",AND(AU148&lt;&gt;"",AV148&lt;&gt;""))),"complete","incomplete")</x:f>
        <x:v>incomplete</x:v>
      </x:c>
      <x:c r="BA148" s="18" t="str">
        <x:f>IF(AZ148="complete","none","faltan campos humanos, adjudicación o segunda revisión")</x:f>
        <x:v>faltan campos humanos, adjudicación o segunda revisión</x:v>
      </x:c>
    </x:row>
    <x:row r="149" ht="36" customHeight="1">
      <x:c r="A149" s="15" t="n">
        <x:v>148</x:v>
      </x:c>
      <x:c r="B149" s="15" t="str">
        <x:v>P1-LONG</x:v>
      </x:c>
      <x:c r="C149" s="15" t="str">
        <x:v>no</x:v>
      </x:c>
      <x:c r="D149" s="15" t="str">
        <x:v>asset:toefl:set-17:part-6:conversation</x:v>
      </x:c>
      <x:c r="E149" s="15" t="str">
        <x:v>set-17</x:v>
      </x:c>
      <x:c r="F149" s="15" t="str">
        <x:v>Listen to a Conversation</x:v>
      </x:c>
      <x:c r="G149" s="15" t="str">
        <x:v>/Users/josedavidduartesilva/Developer/idiomaswl/public/audio/toefl/set-17/conversation.mp3</x:v>
      </x:c>
      <x:c r="H149" s="19" t="n">
        <x:v>68.82</x:v>
      </x:c>
      <x:c r="I149" s="15" t="str">
        <x:v>P1</x:v>
      </x:c>
      <x:c r="J149" s="15" t="str">
        <x:v>100_percent_required_T08_T15</x:v>
      </x:c>
      <x:c r="K149" s="15" t="str">
        <x:v>pass_automated_T06</x:v>
      </x:c>
      <x:c r="L149" s="15" t="str">
        <x:v>none</x:v>
      </x:c>
      <x:c r="M149" s="15" t="str">
        <x:v>none</x:v>
      </x:c>
      <x:c r="N149" s="15" t="str">
        <x:v>conserve_source_technical_candidate</x:v>
      </x:c>
      <x:c r="O149" s="15" t="str">
        <x:v>source_exact_normalized_supported_pending_human</x:v>
      </x:c>
      <x:c r="P149" s="15" t="str">
        <x:v>LING-LEN-001</x:v>
      </x:c>
      <x:c r="Q149" s="15" t="str">
        <x:v>MAN: Did you sign up for the volunteer tutoring program? The one where we help local high-school students with math and science.
WOMAN: I saw the poster but I wasn't sure. I want to, but I'm worried I'm not qualified. I'm only a second-year student myself.
MAN: That's exactly what I thought at first. But they said you don't need to be an expert — you just need to be a year or two ahead of the students, which we definitely are. And there's a short training session before you start.
WOMAN: Oh, that's reassuring. What's the time commitment?
MAN: Two hours a week, on a day that fits your schedule. You meet the same student each week, so you build a relationship and can really track their progress.
WOMAN: I like that. I think I'd find it rewarding, actually. Helping someone understand something you once struggled with yourself.
MAN: Exactly. And honestly, it helps you too. Explaining a concept to someone else is one of the best ways to make sure you really understand it. I've heard people say they got better grades in their own courses after tutoring.
WOMAN: That's a good point. Okay, I'm convinced. Where do I sign up?
MAN: There's a link on the student services page. The deadline is Friday, so don't leave it too long.</x:v>
      </x:c>
      <x:c r="R149" s="15" t="str">
        <x:v>Did you sign up for the Volunteer Tutoring Program? The one where we help local high school students with math and science. I saw the poster, but I wasn't sure. I want to, but I'm worried I'm not qualified. I'm only a second-year student myself. That's exactly what I thought at first. But they said you don't need to be an expert. You just need to be a year or two ahead of the students, which we definitely are. And there's a short training session before you start. Oh, that's reassuring. What's the time commitment? Two hours a week, on a day that fits your schedule. You meet the same student each week so you build a relationship and can really track their progress. I like that. I think I'd find it rewarding, actually. Helping someone understand something you once struggled with yourself. Exactly. And honestly, it helps you too. Explaining a concept to someone else is one of the best ways to make sure you really understand it. I've heard people say they got better grades in their own courses after tutoring. That's a good point. Okay. I'm convinced. Where do I sign up? There's a link on the student services page. The deadline is Friday, so don't leave it too long.</x:v>
      </x:c>
      <x:c r="S149" s="15" t="str">
        <x:v>none</x:v>
      </x:c>
      <x:c r="T149" s="15" t="str">
        <x:v>source_contract_preserved_subject_to_T08</x:v>
      </x:c>
      <x:c r="U149" s="15" t="str">
        <x:v>C_linguistic_segment_or_reframe_candidate</x:v>
      </x:c>
      <x:c r="V149" s="16" t="str">
        <x:v>not_started</x:v>
      </x:c>
      <x:c r="W149" s="16"/>
      <x:c r="X149" s="16"/>
      <x:c r="Y149" s="16"/>
      <x:c r="Z149" s="16"/>
      <x:c r="AA149" s="16"/>
      <x:c r="AB149" s="16"/>
      <x:c r="AC149" s="16"/>
      <x:c r="AD149" s="16"/>
      <x:c r="AE149" s="16"/>
      <x:c r="AF149" s="16"/>
      <x:c r="AG149" s="16"/>
      <x:c r="AH149" s="16"/>
      <x:c r="AI149" s="16"/>
      <x:c r="AJ149" s="16"/>
      <x:c r="AK149" s="16"/>
      <x:c r="AL149" s="16"/>
      <x:c r="AM149" s="16"/>
      <x:c r="AN149" s="16"/>
      <x:c r="AO149" s="16"/>
      <x:c r="AP149" s="16"/>
      <x:c r="AQ149" s="16"/>
      <x:c r="AR149" s="16"/>
      <x:c r="AS149" s="16"/>
      <x:c r="AT149" s="20"/>
      <x:c r="AU149" s="16"/>
      <x:c r="AV149" s="16"/>
      <x:c r="AW149" s="16" t="str">
        <x:v>pending</x:v>
      </x:c>
      <x:c r="AX149" s="17" t="str">
        <x:v>blocked_not_validated</x:v>
      </x:c>
      <x:c r="AY149" s="18" t="str">
        <x:f>IF(OR(C149="yes",X149="corrected",COUNTIF(Z149:AL149,"major")&gt;0,COUNTIF(Z149:AL149,"blocker")&gt;0,OR(AO149="repair",AO149="segment",AO149="replace",AO149="block")),"yes","no")</x:f>
        <x:v>no</x:v>
      </x:c>
      <x:c r="AZ149" s="18" t="str">
        <x:f>IF(AND(V149="reviewed",W149&gt;=1,X149&lt;&gt;"",Y149&lt;&gt;"",COUNTA(Z149:AL149)=13,AM149&lt;&gt;"",AN149&lt;&gt;"",AO149&lt;&gt;"",AP149&lt;&gt;"",AQ149&lt;&gt;"",AR149&lt;&gt;"",AS149="I_listened_at_1x_and_completed_all_required_fields",AT149&lt;&gt;"",AW149="adjudicated",OR(AY149="no",AND(AU149&lt;&gt;"",AV149&lt;&gt;""))),"complete","incomplete")</x:f>
        <x:v>incomplete</x:v>
      </x:c>
      <x:c r="BA149" s="18" t="str">
        <x:f>IF(AZ149="complete","none","faltan campos humanos, adjudicación o segunda revisión")</x:f>
        <x:v>faltan campos humanos, adjudicación o segunda revisión</x:v>
      </x:c>
    </x:row>
    <x:row r="150" ht="36" customHeight="1">
      <x:c r="A150" s="15" t="n">
        <x:v>149</x:v>
      </x:c>
      <x:c r="B150" s="15" t="str">
        <x:v>P1-LONG</x:v>
      </x:c>
      <x:c r="C150" s="15" t="str">
        <x:v>no</x:v>
      </x:c>
      <x:c r="D150" s="15" t="str">
        <x:v>asset:toefl:set-17:part-7:announcement</x:v>
      </x:c>
      <x:c r="E150" s="15" t="str">
        <x:v>set-17</x:v>
      </x:c>
      <x:c r="F150" s="15" t="str">
        <x:v>Listen to an Announcement</x:v>
      </x:c>
      <x:c r="G150" s="15" t="str">
        <x:v>/Users/josedavidduartesilva/Developer/idiomaswl/public/audio/toefl/set-17/announcement.mp3</x:v>
      </x:c>
      <x:c r="H150" s="19" t="n">
        <x:v>51.14</x:v>
      </x:c>
      <x:c r="I150" s="15" t="str">
        <x:v>P1</x:v>
      </x:c>
      <x:c r="J150" s="15" t="str">
        <x:v>100_percent_required_T08_T15</x:v>
      </x:c>
      <x:c r="K150" s="15" t="str">
        <x:v>pass_automated_T06</x:v>
      </x:c>
      <x:c r="L150" s="15" t="str">
        <x:v>none</x:v>
      </x:c>
      <x:c r="M150" s="15" t="str">
        <x:v>none</x:v>
      </x:c>
      <x:c r="N150" s="15" t="str">
        <x:v>conserve_source_technical_candidate</x:v>
      </x:c>
      <x:c r="O150" s="15" t="str">
        <x:v>source_material_diff_pending_human</x:v>
      </x:c>
      <x:c r="P150" s="15" t="str">
        <x:v>LING-DIFF-001;LING-CRIT-001;LING-LEN-001</x:v>
      </x:c>
      <x:c r="Q150" s="15" t="str">
        <x:v>Good morning. This is an announcement for all students living in university housing. Next Tuesday, the water supply to buildings A, B, and C will be switched off temporarily for essential maintenance to the pipes. The shut-off will last from nine a.m. until approximately two p.m.
During this time, there will be no running water in these buildings — no showers, no toilets, and no drinking water from the taps. We strongly recommend filling a few bottles of water the night before, and planning to shower earlier in the morning or later in the afternoon. Temporary toilets will be available in the courtyard between buildings B and C. We understand this is inconvenient, and we've scheduled it for the middle of the day to affect as few people as possible. Buildings D and E are not affected. Thank you for your cooperation.</x:v>
      </x:c>
      <x:c r="R150" s="15" t="str">
        <x:v>Good morning, this is an announcement for all students living in university housing. Next Tuesday, the water supply to buildings A, B and C will be switched off temporarily for essential maintenance to the pipes. The shutoff will last from 9am until approximately 2pm. During this time, there will be no running water in these buildings, no showers, no toilets, and no drinking water from the taps. We strongly recommend filling a few bottles of water the night before and planning to shower earlier in the morning or later in the afternoon. Temporary toilets will be available in the courtyard between buildings B and C. We understand this is inconvenient and we've scheduled it for the middle of the day to affect as few people as possible. Buildings D and E are not affected. Thank you for your cooperation.</x:v>
      </x:c>
      <x:c r="S150" s="15" t="str">
        <x:v>D:shut | S:off→shutoff | D:a | S:m→am | D:p | S:m→pm</x:v>
      </x:c>
      <x:c r="T150" s="15" t="str">
        <x:v>source_contract_preserved_subject_to_T08</x:v>
      </x:c>
      <x:c r="U150" s="15" t="str">
        <x:v>C_linguistic_segment_or_reframe_candidate</x:v>
      </x:c>
      <x:c r="V150" s="16" t="str">
        <x:v>not_started</x:v>
      </x:c>
      <x:c r="W150" s="16"/>
      <x:c r="X150" s="16"/>
      <x:c r="Y150" s="16"/>
      <x:c r="Z150" s="16"/>
      <x:c r="AA150" s="16"/>
      <x:c r="AB150" s="16"/>
      <x:c r="AC150" s="16"/>
      <x:c r="AD150" s="16"/>
      <x:c r="AE150" s="16"/>
      <x:c r="AF150" s="16"/>
      <x:c r="AG150" s="16"/>
      <x:c r="AH150" s="16"/>
      <x:c r="AI150" s="16"/>
      <x:c r="AJ150" s="16"/>
      <x:c r="AK150" s="16"/>
      <x:c r="AL150" s="16"/>
      <x:c r="AM150" s="16"/>
      <x:c r="AN150" s="16"/>
      <x:c r="AO150" s="16"/>
      <x:c r="AP150" s="16"/>
      <x:c r="AQ150" s="16"/>
      <x:c r="AR150" s="16"/>
      <x:c r="AS150" s="16"/>
      <x:c r="AT150" s="20"/>
      <x:c r="AU150" s="16"/>
      <x:c r="AV150" s="16"/>
      <x:c r="AW150" s="16" t="str">
        <x:v>pending</x:v>
      </x:c>
      <x:c r="AX150" s="17" t="str">
        <x:v>blocked_not_validated</x:v>
      </x:c>
      <x:c r="AY150" s="18" t="str">
        <x:f>IF(OR(C150="yes",X150="corrected",COUNTIF(Z150:AL150,"major")&gt;0,COUNTIF(Z150:AL150,"blocker")&gt;0,OR(AO150="repair",AO150="segment",AO150="replace",AO150="block")),"yes","no")</x:f>
        <x:v>no</x:v>
      </x:c>
      <x:c r="AZ150" s="18" t="str">
        <x:f>IF(AND(V150="reviewed",W150&gt;=1,X150&lt;&gt;"",Y150&lt;&gt;"",COUNTA(Z150:AL150)=13,AM150&lt;&gt;"",AN150&lt;&gt;"",AO150&lt;&gt;"",AP150&lt;&gt;"",AQ150&lt;&gt;"",AR150&lt;&gt;"",AS150="I_listened_at_1x_and_completed_all_required_fields",AT150&lt;&gt;"",AW150="adjudicated",OR(AY150="no",AND(AU150&lt;&gt;"",AV150&lt;&gt;""))),"complete","incomplete")</x:f>
        <x:v>incomplete</x:v>
      </x:c>
      <x:c r="BA150" s="18" t="str">
        <x:f>IF(AZ150="complete","none","faltan campos humanos, adjudicación o segunda revisión")</x:f>
        <x:v>faltan campos humanos, adjudicación o segunda revisión</x:v>
      </x:c>
    </x:row>
    <x:row r="151" ht="36" customHeight="1">
      <x:c r="A151" s="15" t="n">
        <x:v>150</x:v>
      </x:c>
      <x:c r="B151" s="15" t="str">
        <x:v>P1-LONG</x:v>
      </x:c>
      <x:c r="C151" s="15" t="str">
        <x:v>no</x:v>
      </x:c>
      <x:c r="D151" s="15" t="str">
        <x:v>asset:toefl:set-17:part-8:academic-talk</x:v>
      </x:c>
      <x:c r="E151" s="15" t="str">
        <x:v>set-17</x:v>
      </x:c>
      <x:c r="F151" s="15" t="str">
        <x:v>Listen to an Academic Talk</x:v>
      </x:c>
      <x:c r="G151" s="15" t="str">
        <x:v>/Users/josedavidduartesilva/Developer/idiomaswl/public/audio/toefl/set-17/academic-talk.mp3</x:v>
      </x:c>
      <x:c r="H151" s="19" t="n">
        <x:v>127.38</x:v>
      </x:c>
      <x:c r="I151" s="15" t="str">
        <x:v>P1</x:v>
      </x:c>
      <x:c r="J151" s="15" t="str">
        <x:v>100_percent_required_T08_T15</x:v>
      </x:c>
      <x:c r="K151" s="15" t="str">
        <x:v>fail_actionable</x:v>
      </x:c>
      <x:c r="L151" s="15" t="str">
        <x:v>TECH-LDN-002</x:v>
      </x:c>
      <x:c r="M151" s="15" t="str">
        <x:v>none</x:v>
      </x:c>
      <x:c r="N151" s="15" t="str">
        <x:v>measure_gain_create_versioned_normalized_variant</x:v>
      </x:c>
      <x:c r="O151" s="15" t="str">
        <x:v>source_minor_diff_supported_pending_human</x:v>
      </x:c>
      <x:c r="P151" s="15" t="str">
        <x:v>LING-DIFF-001;TECH-T06-FAIL;LING-LEN-002</x:v>
      </x:c>
      <x:c r="Q151" s="15" t="str">
        <x:v>PROFESSOR: Today I want to talk about a surprising discovery in plant science: the ways in which trees communicate and cooperate with one another. For a long time, we pictured a forest as a collection of individual trees, each competing with its neighbors for sunlight, water, and nutrients. That picture isn't wrong, but it's incomplete. Beneath the forest floor, something remarkable is going on.
The key players are fungi. The roots of most trees are connected to networks of fungthreads in the soil, in a partnership called a mycorrhiza. The fungi help the tree absorb water and nutrients from the soil, and in return, the tree gives the fungi sugars it makes through photosynthesis. But here's the fascinating part: because these fungal networks connect the roots of many different trees, they can act as a kind of underground channel linking the whole forest. Some scientists have nicknamed this the "wood wide web."
Experiments using tiny amounts of harmless radioactive tracers have shown that trees can actually transfer carbon and nutrients to one another through this network. In some cases, a large, well-established tree will send resources to smaller, shaded seedlings nearby — often its own offspring. There's even evidence that when a tree is dying, it may release its stored resources into the network, effectively passing them on to its neighbors.
Now, I want to add a note of caution here, because this area is exciting but also debated. Some researchers argue that the popular image of trees "talking" and "sharing" out of cooperation may overstate what the evidence shows — the fungi, after all, may be moving resources for their own benefit, not the trees'. So while the underground networks are real and important, we should be careful not to romanticize them. What's certain is this: a forest is not simply a crowd of isolated competitors. It's an interconnected system, and understanding those connections is changing how we think about ecology and forest conservation.</x:v>
      </x:c>
      <x:c r="R151" s="15" t="str">
        <x:v>Today I want to talk about a surprising discovery in plant science, the ways in which trees communicate and cooperate with one another. For a long time we pictured a forest as a collection of individual trees, each competing with its neighbors for sunlight, water and nutrients. That picture isn't wrong, but it's incomplete. Beneath the forest floor, something remarkable is going on. The key players are fungi. The roots of most trees are connected to networks of fungal threads in the soil, in a partnership called a mycorrhiza. The fungi help the tree absorb water and nutrients from the soil, and in return, the tree gives the fungi sugars it makes through photosynthesis. But here's the fascinating part. Because these fungal networks connect the roots of many different trees, they can act as a kind of underground channel linking the whole forest. Some scientists have nicknamed this the wood-wide web. Experiments using tiny amounts of harmless radioactive tracers have shown that trees can actually transfer carbon and nutrients to one another through this network. In some cases, a large, well-established tree will send resources to smaller, shaded seedlings nearby, often its own offspring. There's even evidence that when a tree is dying, It may release its stored resources into the network, effectively passing them on to its neighbors. Now, I want to add a note of caution here, because this area is exciting but also debated. Some researchers argue that the popular image of trees, talking and sharing, out of cooperation, may overstate what the evidence shows. The fungi, after all, may be moving resources for their own benefit, not the trees. So, while the underground networks are real and important, we should be careful not to romanticize them. What's certain is this. A forest is not simply a crowd of isolated competitors. It's an interconnected system, and understanding those connections is changing how we think about ecology and forest conservation.</x:v>
      </x:c>
      <x:c r="S151" s="15" t="str">
        <x:v>I:fungal | S:fungthreads→threads</x:v>
      </x:c>
      <x:c r="T151" s="15" t="str">
        <x:v>source_contract_preserved_subject_to_T08</x:v>
      </x:c>
      <x:c r="U151" s="15" t="str">
        <x:v>C_linguistic_segment_or_reframe_candidate</x:v>
      </x:c>
      <x:c r="V151" s="16" t="str">
        <x:v>not_started</x:v>
      </x:c>
      <x:c r="W151" s="16"/>
      <x:c r="X151" s="16"/>
      <x:c r="Y151" s="16"/>
      <x:c r="Z151" s="16"/>
      <x:c r="AA151" s="16"/>
      <x:c r="AB151" s="16"/>
      <x:c r="AC151" s="16"/>
      <x:c r="AD151" s="16"/>
      <x:c r="AE151" s="16"/>
      <x:c r="AF151" s="16"/>
      <x:c r="AG151" s="16"/>
      <x:c r="AH151" s="16"/>
      <x:c r="AI151" s="16"/>
      <x:c r="AJ151" s="16"/>
      <x:c r="AK151" s="16"/>
      <x:c r="AL151" s="16"/>
      <x:c r="AM151" s="16"/>
      <x:c r="AN151" s="16"/>
      <x:c r="AO151" s="16"/>
      <x:c r="AP151" s="16"/>
      <x:c r="AQ151" s="16"/>
      <x:c r="AR151" s="16"/>
      <x:c r="AS151" s="16"/>
      <x:c r="AT151" s="20"/>
      <x:c r="AU151" s="16"/>
      <x:c r="AV151" s="16"/>
      <x:c r="AW151" s="16" t="str">
        <x:v>pending</x:v>
      </x:c>
      <x:c r="AX151" s="17" t="str">
        <x:v>blocked_not_validated</x:v>
      </x:c>
      <x:c r="AY151" s="18" t="str">
        <x:f>IF(OR(C151="yes",X151="corrected",COUNTIF(Z151:AL151,"major")&gt;0,COUNTIF(Z151:AL151,"blocker")&gt;0,OR(AO151="repair",AO151="segment",AO151="replace",AO151="block")),"yes","no")</x:f>
        <x:v>no</x:v>
      </x:c>
      <x:c r="AZ151" s="18" t="str">
        <x:f>IF(AND(V151="reviewed",W151&gt;=1,X151&lt;&gt;"",Y151&lt;&gt;"",COUNTA(Z151:AL151)=13,AM151&lt;&gt;"",AN151&lt;&gt;"",AO151&lt;&gt;"",AP151&lt;&gt;"",AQ151&lt;&gt;"",AR151&lt;&gt;"",AS151="I_listened_at_1x_and_completed_all_required_fields",AT151&lt;&gt;"",AW151="adjudicated",OR(AY151="no",AND(AU151&lt;&gt;"",AV151&lt;&gt;""))),"complete","incomplete")</x:f>
        <x:v>incomplete</x:v>
      </x:c>
      <x:c r="BA151" s="18" t="str">
        <x:f>IF(AZ151="complete","none","faltan campos humanos, adjudicación o segunda revisión")</x:f>
        <x:v>faltan campos humanos, adjudicación o segunda revisión</x:v>
      </x:c>
    </x:row>
    <x:row r="152" ht="36" customHeight="1">
      <x:c r="A152" s="15" t="n">
        <x:v>151</x:v>
      </x:c>
      <x:c r="B152" s="15" t="str">
        <x:v>P1-REPEAT</x:v>
      </x:c>
      <x:c r="C152" s="15" t="str">
        <x:v>no</x:v>
      </x:c>
      <x:c r="D152" s="15" t="str">
        <x:v>asset:toefl:set-17:part-12:repeat-4</x:v>
      </x:c>
      <x:c r="E152" s="15" t="str">
        <x:v>set-17</x:v>
      </x:c>
      <x:c r="F152" s="15" t="str">
        <x:v>Listen and Repeat</x:v>
      </x:c>
      <x:c r="G152" s="15" t="str">
        <x:v>/Users/josedavidduartesilva/Developer/idiomaswl/public/audio/toefl/set-17/repeat-4.mp3</x:v>
      </x:c>
      <x:c r="H152" s="19" t="n">
        <x:v>4.58</x:v>
      </x:c>
      <x:c r="I152" s="15" t="str">
        <x:v>P1</x:v>
      </x:c>
      <x:c r="J152" s="15" t="str">
        <x:v>100_percent_required_T08</x:v>
      </x:c>
      <x:c r="K152" s="15" t="str">
        <x:v>pass_automated_T06</x:v>
      </x:c>
      <x:c r="L152" s="15" t="str">
        <x:v>none</x:v>
      </x:c>
      <x:c r="M152" s="15" t="str">
        <x:v>none</x:v>
      </x:c>
      <x:c r="N152" s="15" t="str">
        <x:v>conserve_source_technical_candidate</x:v>
      </x:c>
      <x:c r="O152" s="15" t="str">
        <x:v>source_material_diff_pending_human</x:v>
      </x:c>
      <x:c r="P152" s="15" t="str">
        <x:v>LING-DIFF-001</x:v>
      </x:c>
      <x:c r="Q152" s="15" t="str">
        <x:v>The report recommended that the school should reduce the size of its classes.</x:v>
      </x:c>
      <x:c r="R152" s="15" t="str">
        <x:v>The report recommended that the school should reduce the signs of its classes.</x:v>
      </x:c>
      <x:c r="S152" s="15" t="str">
        <x:v>S:size→signs</x:v>
      </x:c>
      <x:c r="T152" s="15" t="str">
        <x:v>source_contract_preserved_subject_to_T08</x:v>
      </x:c>
      <x:c r="U152" s="15" t="str">
        <x:v>B_linguistic_adjudication_or_repair_candidate</x:v>
      </x:c>
      <x:c r="V152" s="16" t="str">
        <x:v>not_started</x:v>
      </x:c>
      <x:c r="W152" s="16"/>
      <x:c r="X152" s="16"/>
      <x:c r="Y152" s="16"/>
      <x:c r="Z152" s="16"/>
      <x:c r="AA152" s="16"/>
      <x:c r="AB152" s="16"/>
      <x:c r="AC152" s="16"/>
      <x:c r="AD152" s="16"/>
      <x:c r="AE152" s="16"/>
      <x:c r="AF152" s="16"/>
      <x:c r="AG152" s="16"/>
      <x:c r="AH152" s="16"/>
      <x:c r="AI152" s="16"/>
      <x:c r="AJ152" s="16"/>
      <x:c r="AK152" s="16"/>
      <x:c r="AL152" s="16"/>
      <x:c r="AM152" s="16"/>
      <x:c r="AN152" s="16"/>
      <x:c r="AO152" s="16"/>
      <x:c r="AP152" s="16"/>
      <x:c r="AQ152" s="16"/>
      <x:c r="AR152" s="16"/>
      <x:c r="AS152" s="16"/>
      <x:c r="AT152" s="20"/>
      <x:c r="AU152" s="16"/>
      <x:c r="AV152" s="16"/>
      <x:c r="AW152" s="16" t="str">
        <x:v>pending</x:v>
      </x:c>
      <x:c r="AX152" s="17" t="str">
        <x:v>blocked_not_validated</x:v>
      </x:c>
      <x:c r="AY152" s="18" t="str">
        <x:f>IF(OR(C152="yes",X152="corrected",COUNTIF(Z152:AL152,"major")&gt;0,COUNTIF(Z152:AL152,"blocker")&gt;0,OR(AO152="repair",AO152="segment",AO152="replace",AO152="block")),"yes","no")</x:f>
        <x:v>no</x:v>
      </x:c>
      <x:c r="AZ152" s="18" t="str">
        <x:f>IF(AND(V152="reviewed",W152&gt;=1,X152&lt;&gt;"",Y152&lt;&gt;"",COUNTA(Z152:AL152)=13,AM152&lt;&gt;"",AN152&lt;&gt;"",AO152&lt;&gt;"",AP152&lt;&gt;"",AQ152&lt;&gt;"",AR152&lt;&gt;"",AS152="I_listened_at_1x_and_completed_all_required_fields",AT152&lt;&gt;"",AW152="adjudicated",OR(AY152="no",AND(AU152&lt;&gt;"",AV152&lt;&gt;""))),"complete","incomplete")</x:f>
        <x:v>incomplete</x:v>
      </x:c>
      <x:c r="BA152" s="18" t="str">
        <x:f>IF(AZ152="complete","none","faltan campos humanos, adjudicación o segunda revisión")</x:f>
        <x:v>faltan campos humanos, adjudicación o segunda revisión</x:v>
      </x:c>
    </x:row>
    <x:row r="153" ht="36" customHeight="1">
      <x:c r="A153" s="15" t="n">
        <x:v>152</x:v>
      </x:c>
      <x:c r="B153" s="15" t="str">
        <x:v>P1-CHOOSE</x:v>
      </x:c>
      <x:c r="C153" s="15" t="str">
        <x:v>no</x:v>
      </x:c>
      <x:c r="D153" s="15" t="str">
        <x:v>asset:toefl:set-18:part-5:listen-choose-1</x:v>
      </x:c>
      <x:c r="E153" s="15" t="str">
        <x:v>set-18</x:v>
      </x:c>
      <x:c r="F153" s="15" t="str">
        <x:v>Listen and Choose a Response</x:v>
      </x:c>
      <x:c r="G153" s="15" t="str">
        <x:v>/Users/josedavidduartesilva/Developer/idiomaswl/public/audio/toefl/set-18/listen-choose-1.mp3</x:v>
      </x:c>
      <x:c r="H153" s="19" t="n">
        <x:v>3.46</x:v>
      </x:c>
      <x:c r="I153" s="15" t="str">
        <x:v>P1</x:v>
      </x:c>
      <x:c r="J153" s="15" t="str">
        <x:v>100_percent_required_T08</x:v>
      </x:c>
      <x:c r="K153" s="15" t="str">
        <x:v>pass_automated_T06</x:v>
      </x:c>
      <x:c r="L153" s="15" t="str">
        <x:v>none</x:v>
      </x:c>
      <x:c r="M153" s="15" t="str">
        <x:v>none</x:v>
      </x:c>
      <x:c r="N153" s="15" t="str">
        <x:v>conserve_source_technical_candidate</x:v>
      </x:c>
      <x:c r="O153" s="15" t="str">
        <x:v>asr_candidate_recovered_pending_human</x:v>
      </x:c>
      <x:c r="P153" s="15" t="str">
        <x:v>LING-SOURCE-001;LING-STRESS-001</x:v>
      </x:c>
      <x:c r="Q153" s="15" t="str"/>
      <x:c r="R153" s="15" t="str">
        <x:v>Excuse me, could you tell me how to get to the Science Library?</x:v>
      </x:c>
      <x:c r="S153" s="15" t="str">
        <x:v>no_source_candidate</x:v>
      </x:c>
      <x:c r="T153" s="15" t="str">
        <x:v>manual_exchange_review_pass_pending_T08</x:v>
      </x:c>
      <x:c r="U153" s="15" t="str">
        <x:v>B_transcript_adjudication_candidate</x:v>
      </x:c>
      <x:c r="V153" s="16" t="str">
        <x:v>not_started</x:v>
      </x:c>
      <x:c r="W153" s="16"/>
      <x:c r="X153" s="16"/>
      <x:c r="Y153" s="16"/>
      <x:c r="Z153" s="16"/>
      <x:c r="AA153" s="16"/>
      <x:c r="AB153" s="16"/>
      <x:c r="AC153" s="16"/>
      <x:c r="AD153" s="16"/>
      <x:c r="AE153" s="16"/>
      <x:c r="AF153" s="16"/>
      <x:c r="AG153" s="16"/>
      <x:c r="AH153" s="16"/>
      <x:c r="AI153" s="16"/>
      <x:c r="AJ153" s="16"/>
      <x:c r="AK153" s="16"/>
      <x:c r="AL153" s="16"/>
      <x:c r="AM153" s="16"/>
      <x:c r="AN153" s="16"/>
      <x:c r="AO153" s="16"/>
      <x:c r="AP153" s="16"/>
      <x:c r="AQ153" s="16"/>
      <x:c r="AR153" s="16"/>
      <x:c r="AS153" s="16"/>
      <x:c r="AT153" s="20"/>
      <x:c r="AU153" s="16"/>
      <x:c r="AV153" s="16"/>
      <x:c r="AW153" s="16" t="str">
        <x:v>pending</x:v>
      </x:c>
      <x:c r="AX153" s="17" t="str">
        <x:v>blocked_not_validated</x:v>
      </x:c>
      <x:c r="AY153" s="18" t="str">
        <x:f>IF(OR(C153="yes",X153="corrected",COUNTIF(Z153:AL153,"major")&gt;0,COUNTIF(Z153:AL153,"blocker")&gt;0,OR(AO153="repair",AO153="segment",AO153="replace",AO153="block")),"yes","no")</x:f>
        <x:v>no</x:v>
      </x:c>
      <x:c r="AZ153" s="18" t="str">
        <x:f>IF(AND(V153="reviewed",W153&gt;=1,X153&lt;&gt;"",Y153&lt;&gt;"",COUNTA(Z153:AL153)=13,AM153&lt;&gt;"",AN153&lt;&gt;"",AO153&lt;&gt;"",AP153&lt;&gt;"",AQ153&lt;&gt;"",AR153&lt;&gt;"",AS153="I_listened_at_1x_and_completed_all_required_fields",AT153&lt;&gt;"",AW153="adjudicated",OR(AY153="no",AND(AU153&lt;&gt;"",AV153&lt;&gt;""))),"complete","incomplete")</x:f>
        <x:v>incomplete</x:v>
      </x:c>
      <x:c r="BA153" s="18" t="str">
        <x:f>IF(AZ153="complete","none","faltan campos humanos, adjudicación o segunda revisión")</x:f>
        <x:v>faltan campos humanos, adjudicación o segunda revisión</x:v>
      </x:c>
    </x:row>
    <x:row r="154" ht="36" customHeight="1">
      <x:c r="A154" s="15" t="n">
        <x:v>153</x:v>
      </x:c>
      <x:c r="B154" s="15" t="str">
        <x:v>P1-CHOOSE</x:v>
      </x:c>
      <x:c r="C154" s="15" t="str">
        <x:v>no</x:v>
      </x:c>
      <x:c r="D154" s="15" t="str">
        <x:v>asset:toefl:set-18:part-5:listen-choose-3</x:v>
      </x:c>
      <x:c r="E154" s="15" t="str">
        <x:v>set-18</x:v>
      </x:c>
      <x:c r="F154" s="15" t="str">
        <x:v>Listen and Choose a Response</x:v>
      </x:c>
      <x:c r="G154" s="15" t="str">
        <x:v>/Users/josedavidduartesilva/Developer/idiomaswl/public/audio/toefl/set-18/listen-choose-3.mp3</x:v>
      </x:c>
      <x:c r="H154" s="19" t="n">
        <x:v>4.1</x:v>
      </x:c>
      <x:c r="I154" s="15" t="str">
        <x:v>P1</x:v>
      </x:c>
      <x:c r="J154" s="15" t="str">
        <x:v>100_percent_required_T08</x:v>
      </x:c>
      <x:c r="K154" s="15" t="str">
        <x:v>pass_automated_T06</x:v>
      </x:c>
      <x:c r="L154" s="15" t="str">
        <x:v>none</x:v>
      </x:c>
      <x:c r="M154" s="15" t="str">
        <x:v>none</x:v>
      </x:c>
      <x:c r="N154" s="15" t="str">
        <x:v>conserve_source_technical_candidate</x:v>
      </x:c>
      <x:c r="O154" s="15" t="str">
        <x:v>asr_candidate_recovered_pending_human</x:v>
      </x:c>
      <x:c r="P154" s="15" t="str">
        <x:v>LING-SOURCE-001;LING-STRESS-001</x:v>
      </x:c>
      <x:c r="Q154" s="15" t="str"/>
      <x:c r="R154" s="15" t="str">
        <x:v>Excuse me, who do I talk to about getting a new student ID card?</x:v>
      </x:c>
      <x:c r="S154" s="15" t="str">
        <x:v>no_source_candidate</x:v>
      </x:c>
      <x:c r="T154" s="15" t="str">
        <x:v>manual_exchange_review_pass_pending_T08</x:v>
      </x:c>
      <x:c r="U154" s="15" t="str">
        <x:v>B_transcript_adjudication_candidate</x:v>
      </x:c>
      <x:c r="V154" s="16" t="str">
        <x:v>not_started</x:v>
      </x:c>
      <x:c r="W154" s="16"/>
      <x:c r="X154" s="16"/>
      <x:c r="Y154" s="16"/>
      <x:c r="Z154" s="16"/>
      <x:c r="AA154" s="16"/>
      <x:c r="AB154" s="16"/>
      <x:c r="AC154" s="16"/>
      <x:c r="AD154" s="16"/>
      <x:c r="AE154" s="16"/>
      <x:c r="AF154" s="16"/>
      <x:c r="AG154" s="16"/>
      <x:c r="AH154" s="16"/>
      <x:c r="AI154" s="16"/>
      <x:c r="AJ154" s="16"/>
      <x:c r="AK154" s="16"/>
      <x:c r="AL154" s="16"/>
      <x:c r="AM154" s="16"/>
      <x:c r="AN154" s="16"/>
      <x:c r="AO154" s="16"/>
      <x:c r="AP154" s="16"/>
      <x:c r="AQ154" s="16"/>
      <x:c r="AR154" s="16"/>
      <x:c r="AS154" s="16"/>
      <x:c r="AT154" s="20"/>
      <x:c r="AU154" s="16"/>
      <x:c r="AV154" s="16"/>
      <x:c r="AW154" s="16" t="str">
        <x:v>pending</x:v>
      </x:c>
      <x:c r="AX154" s="17" t="str">
        <x:v>blocked_not_validated</x:v>
      </x:c>
      <x:c r="AY154" s="18" t="str">
        <x:f>IF(OR(C154="yes",X154="corrected",COUNTIF(Z154:AL154,"major")&gt;0,COUNTIF(Z154:AL154,"blocker")&gt;0,OR(AO154="repair",AO154="segment",AO154="replace",AO154="block")),"yes","no")</x:f>
        <x:v>no</x:v>
      </x:c>
      <x:c r="AZ154" s="18" t="str">
        <x:f>IF(AND(V154="reviewed",W154&gt;=1,X154&lt;&gt;"",Y154&lt;&gt;"",COUNTA(Z154:AL154)=13,AM154&lt;&gt;"",AN154&lt;&gt;"",AO154&lt;&gt;"",AP154&lt;&gt;"",AQ154&lt;&gt;"",AR154&lt;&gt;"",AS154="I_listened_at_1x_and_completed_all_required_fields",AT154&lt;&gt;"",AW154="adjudicated",OR(AY154="no",AND(AU154&lt;&gt;"",AV154&lt;&gt;""))),"complete","incomplete")</x:f>
        <x:v>incomplete</x:v>
      </x:c>
      <x:c r="BA154" s="18" t="str">
        <x:f>IF(AZ154="complete","none","faltan campos humanos, adjudicación o segunda revisión")</x:f>
        <x:v>faltan campos humanos, adjudicación o segunda revisión</x:v>
      </x:c>
    </x:row>
    <x:row r="155" ht="36" customHeight="1">
      <x:c r="A155" s="15" t="n">
        <x:v>154</x:v>
      </x:c>
      <x:c r="B155" s="15" t="str">
        <x:v>P1-CHOOSE</x:v>
      </x:c>
      <x:c r="C155" s="15" t="str">
        <x:v>no</x:v>
      </x:c>
      <x:c r="D155" s="15" t="str">
        <x:v>asset:toefl:set-18:part-5:listen-choose-4</x:v>
      </x:c>
      <x:c r="E155" s="15" t="str">
        <x:v>set-18</x:v>
      </x:c>
      <x:c r="F155" s="15" t="str">
        <x:v>Listen and Choose a Response</x:v>
      </x:c>
      <x:c r="G155" s="15" t="str">
        <x:v>/Users/josedavidduartesilva/Developer/idiomaswl/public/audio/toefl/set-18/listen-choose-4.mp3</x:v>
      </x:c>
      <x:c r="H155" s="19" t="n">
        <x:v>3.54</x:v>
      </x:c>
      <x:c r="I155" s="15" t="str">
        <x:v>P1</x:v>
      </x:c>
      <x:c r="J155" s="15" t="str">
        <x:v>100_percent_required_T08</x:v>
      </x:c>
      <x:c r="K155" s="15" t="str">
        <x:v>pass_with_actionable_warning</x:v>
      </x:c>
      <x:c r="L155" s="15" t="str">
        <x:v>none</x:v>
      </x:c>
      <x:c r="M155" s="15" t="str">
        <x:v>TECH-PEAK-003</x:v>
      </x:c>
      <x:c r="N155" s="15" t="str">
        <x:v>review_warning_in_T08_before_conserve</x:v>
      </x:c>
      <x:c r="O155" s="15" t="str">
        <x:v>asr_candidate_recovered_pending_human</x:v>
      </x:c>
      <x:c r="P155" s="15" t="str">
        <x:v>LING-SOURCE-001;LING-STRESS-001</x:v>
      </x:c>
      <x:c r="Q155" s="15" t="str"/>
      <x:c r="R155" s="15" t="str">
        <x:v>Are you going to the lecture early? Could you save me a seat?</x:v>
      </x:c>
      <x:c r="S155" s="15" t="str">
        <x:v>no_source_candidate</x:v>
      </x:c>
      <x:c r="T155" s="15" t="str">
        <x:v>manual_exchange_review_pass_pending_T08</x:v>
      </x:c>
      <x:c r="U155" s="15" t="str">
        <x:v>B_transcript_adjudication_candidate</x:v>
      </x:c>
      <x:c r="V155" s="16" t="str">
        <x:v>not_started</x:v>
      </x:c>
      <x:c r="W155" s="16"/>
      <x:c r="X155" s="16"/>
      <x:c r="Y155" s="16"/>
      <x:c r="Z155" s="16"/>
      <x:c r="AA155" s="16"/>
      <x:c r="AB155" s="16"/>
      <x:c r="AC155" s="16"/>
      <x:c r="AD155" s="16"/>
      <x:c r="AE155" s="16"/>
      <x:c r="AF155" s="16"/>
      <x:c r="AG155" s="16"/>
      <x:c r="AH155" s="16"/>
      <x:c r="AI155" s="16"/>
      <x:c r="AJ155" s="16"/>
      <x:c r="AK155" s="16"/>
      <x:c r="AL155" s="16"/>
      <x:c r="AM155" s="16"/>
      <x:c r="AN155" s="16"/>
      <x:c r="AO155" s="16"/>
      <x:c r="AP155" s="16"/>
      <x:c r="AQ155" s="16"/>
      <x:c r="AR155" s="16"/>
      <x:c r="AS155" s="16"/>
      <x:c r="AT155" s="20"/>
      <x:c r="AU155" s="16"/>
      <x:c r="AV155" s="16"/>
      <x:c r="AW155" s="16" t="str">
        <x:v>pending</x:v>
      </x:c>
      <x:c r="AX155" s="17" t="str">
        <x:v>blocked_not_validated</x:v>
      </x:c>
      <x:c r="AY155" s="18" t="str">
        <x:f>IF(OR(C155="yes",X155="corrected",COUNTIF(Z155:AL155,"major")&gt;0,COUNTIF(Z155:AL155,"blocker")&gt;0,OR(AO155="repair",AO155="segment",AO155="replace",AO155="block")),"yes","no")</x:f>
        <x:v>no</x:v>
      </x:c>
      <x:c r="AZ155" s="18" t="str">
        <x:f>IF(AND(V155="reviewed",W155&gt;=1,X155&lt;&gt;"",Y155&lt;&gt;"",COUNTA(Z155:AL155)=13,AM155&lt;&gt;"",AN155&lt;&gt;"",AO155&lt;&gt;"",AP155&lt;&gt;"",AQ155&lt;&gt;"",AR155&lt;&gt;"",AS155="I_listened_at_1x_and_completed_all_required_fields",AT155&lt;&gt;"",AW155="adjudicated",OR(AY155="no",AND(AU155&lt;&gt;"",AV155&lt;&gt;""))),"complete","incomplete")</x:f>
        <x:v>incomplete</x:v>
      </x:c>
      <x:c r="BA155" s="18" t="str">
        <x:f>IF(AZ155="complete","none","faltan campos humanos, adjudicación o segunda revisión")</x:f>
        <x:v>faltan campos humanos, adjudicación o segunda revisión</x:v>
      </x:c>
    </x:row>
    <x:row r="156" ht="36" customHeight="1">
      <x:c r="A156" s="15" t="n">
        <x:v>155</x:v>
      </x:c>
      <x:c r="B156" s="15" t="str">
        <x:v>P1-CHOOSE</x:v>
      </x:c>
      <x:c r="C156" s="15" t="str">
        <x:v>no</x:v>
      </x:c>
      <x:c r="D156" s="15" t="str">
        <x:v>asset:toefl:set-18:part-5:listen-choose-5</x:v>
      </x:c>
      <x:c r="E156" s="15" t="str">
        <x:v>set-18</x:v>
      </x:c>
      <x:c r="F156" s="15" t="str">
        <x:v>Listen and Choose a Response</x:v>
      </x:c>
      <x:c r="G156" s="15" t="str">
        <x:v>/Users/josedavidduartesilva/Developer/idiomaswl/public/audio/toefl/set-18/listen-choose-5.mp3</x:v>
      </x:c>
      <x:c r="H156" s="19" t="n">
        <x:v>3.38</x:v>
      </x:c>
      <x:c r="I156" s="15" t="str">
        <x:v>P1</x:v>
      </x:c>
      <x:c r="J156" s="15" t="str">
        <x:v>100_percent_required_T08</x:v>
      </x:c>
      <x:c r="K156" s="15" t="str">
        <x:v>pass_automated_T06</x:v>
      </x:c>
      <x:c r="L156" s="15" t="str">
        <x:v>none</x:v>
      </x:c>
      <x:c r="M156" s="15" t="str">
        <x:v>none</x:v>
      </x:c>
      <x:c r="N156" s="15" t="str">
        <x:v>conserve_source_technical_candidate</x:v>
      </x:c>
      <x:c r="O156" s="15" t="str">
        <x:v>asr_candidate_recovered_pending_human</x:v>
      </x:c>
      <x:c r="P156" s="15" t="str">
        <x:v>LING-SOURCE-001;LING-STRESS-001</x:v>
      </x:c>
      <x:c r="Q156" s="15" t="str"/>
      <x:c r="R156" s="15" t="str">
        <x:v>You look thrilled today. Did something exciting happen?</x:v>
      </x:c>
      <x:c r="S156" s="15" t="str">
        <x:v>no_source_candidate</x:v>
      </x:c>
      <x:c r="T156" s="15" t="str">
        <x:v>manual_exchange_review_pass_pending_T08</x:v>
      </x:c>
      <x:c r="U156" s="15" t="str">
        <x:v>B_transcript_adjudication_candidate</x:v>
      </x:c>
      <x:c r="V156" s="16" t="str">
        <x:v>not_started</x:v>
      </x:c>
      <x:c r="W156" s="16"/>
      <x:c r="X156" s="16"/>
      <x:c r="Y156" s="16"/>
      <x:c r="Z156" s="16"/>
      <x:c r="AA156" s="16"/>
      <x:c r="AB156" s="16"/>
      <x:c r="AC156" s="16"/>
      <x:c r="AD156" s="16"/>
      <x:c r="AE156" s="16"/>
      <x:c r="AF156" s="16"/>
      <x:c r="AG156" s="16"/>
      <x:c r="AH156" s="16"/>
      <x:c r="AI156" s="16"/>
      <x:c r="AJ156" s="16"/>
      <x:c r="AK156" s="16"/>
      <x:c r="AL156" s="16"/>
      <x:c r="AM156" s="16"/>
      <x:c r="AN156" s="16"/>
      <x:c r="AO156" s="16"/>
      <x:c r="AP156" s="16"/>
      <x:c r="AQ156" s="16"/>
      <x:c r="AR156" s="16"/>
      <x:c r="AS156" s="16"/>
      <x:c r="AT156" s="20"/>
      <x:c r="AU156" s="16"/>
      <x:c r="AV156" s="16"/>
      <x:c r="AW156" s="16" t="str">
        <x:v>pending</x:v>
      </x:c>
      <x:c r="AX156" s="17" t="str">
        <x:v>blocked_not_validated</x:v>
      </x:c>
      <x:c r="AY156" s="18" t="str">
        <x:f>IF(OR(C156="yes",X156="corrected",COUNTIF(Z156:AL156,"major")&gt;0,COUNTIF(Z156:AL156,"blocker")&gt;0,OR(AO156="repair",AO156="segment",AO156="replace",AO156="block")),"yes","no")</x:f>
        <x:v>no</x:v>
      </x:c>
      <x:c r="AZ156" s="18" t="str">
        <x:f>IF(AND(V156="reviewed",W156&gt;=1,X156&lt;&gt;"",Y156&lt;&gt;"",COUNTA(Z156:AL156)=13,AM156&lt;&gt;"",AN156&lt;&gt;"",AO156&lt;&gt;"",AP156&lt;&gt;"",AQ156&lt;&gt;"",AR156&lt;&gt;"",AS156="I_listened_at_1x_and_completed_all_required_fields",AT156&lt;&gt;"",AW156="adjudicated",OR(AY156="no",AND(AU156&lt;&gt;"",AV156&lt;&gt;""))),"complete","incomplete")</x:f>
        <x:v>incomplete</x:v>
      </x:c>
      <x:c r="BA156" s="18" t="str">
        <x:f>IF(AZ156="complete","none","faltan campos humanos, adjudicación o segunda revisión")</x:f>
        <x:v>faltan campos humanos, adjudicación o segunda revisión</x:v>
      </x:c>
    </x:row>
    <x:row r="157" ht="36" customHeight="1">
      <x:c r="A157" s="15" t="n">
        <x:v>156</x:v>
      </x:c>
      <x:c r="B157" s="15" t="str">
        <x:v>P1-LONG</x:v>
      </x:c>
      <x:c r="C157" s="15" t="str">
        <x:v>no</x:v>
      </x:c>
      <x:c r="D157" s="15" t="str">
        <x:v>asset:toefl:set-18:part-6:conversation</x:v>
      </x:c>
      <x:c r="E157" s="15" t="str">
        <x:v>set-18</x:v>
      </x:c>
      <x:c r="F157" s="15" t="str">
        <x:v>Listen to a Conversation</x:v>
      </x:c>
      <x:c r="G157" s="15" t="str">
        <x:v>/Users/josedavidduartesilva/Developer/idiomaswl/public/audio/toefl/set-18/conversation.mp3</x:v>
      </x:c>
      <x:c r="H157" s="19" t="n">
        <x:v>94.24</x:v>
      </x:c>
      <x:c r="I157" s="15" t="str">
        <x:v>P1</x:v>
      </x:c>
      <x:c r="J157" s="15" t="str">
        <x:v>100_percent_required_T08_T15</x:v>
      </x:c>
      <x:c r="K157" s="15" t="str">
        <x:v>pass_with_actionable_warning</x:v>
      </x:c>
      <x:c r="L157" s="15" t="str">
        <x:v>none</x:v>
      </x:c>
      <x:c r="M157" s="15" t="str">
        <x:v>TECH-PEAK-003</x:v>
      </x:c>
      <x:c r="N157" s="15" t="str">
        <x:v>review_warning_in_T08_before_conserve</x:v>
      </x:c>
      <x:c r="O157" s="15" t="str">
        <x:v>source_exact_normalized_supported_pending_human</x:v>
      </x:c>
      <x:c r="P157" s="15" t="str">
        <x:v>LING-LEN-001</x:v>
      </x:c>
      <x:c r="Q157" s="15" t="str">
        <x:v>STUDENT: Hi, I'm graduating this year and I'm feeling pretty lost about what to do next. I don't even know where to begin.
ADVISOR: That's completely normal, and you're in exactly the right place. Let's start simple. Do you have a general direction in mind — a field or type of work you're drawn to?
STUDENT: I studied environmental science, and I care about sustainability, but I don't know if I want to do research, policy, or work for a company. It all feels overwhelming.
ADVISOR: Okay, that's actually a great starting point — you have a value you care about, sustainability, and a few possible paths. Here's what I'd suggest. Rather than trying to decide everything now, do some "informational interviews." Reach out to a few people working in research, in policy, and in industry, and just ask them about their day-to-day work.
STUDENT: I hadn't thought of that. Wouldn't people be too busy to talk to a student?
ADVISOR: You'd be surprised. Most people are happy to spend twenty minutes talking about their career, especially with someone genuinely interested. And it's the best way to learn what a job is really like, beyond the job title. Often students rule out or discover paths they never expected.
STUDENT: That makes sense. It's a lot less pressure than trying to pick the perfect job right away.
ADVISOR: Exactly. Think of it as gathering information, not making a final decision. Come back after you've spoken to a few people, and we'll talk through what you learned and start narrowing things down.</x:v>
      </x:c>
      <x:c r="R157" s="15" t="str">
        <x:v>Hi, I'm graduating this year, and I'm feeling pretty lost about what to do next. I don't even know where to begin. That's completely normal, and you're in exactly the right place. Let's start simple. Do you have a general direction in mind, a field or type of work you're drawn to? I studied environmental science, and I care about sustainability, but I don't know if I want to do research, policy, or work for a company. It all feels overwhelming. Okay, that's actually a great starting point. You have a value you care about, sustainability, and a few possible paths. Here's what I'd suggest. Rather than trying to decide everything now, do some informational interviews. Reach out to a few people working in research, in policy, and in industry, and just ask them about their day-to-day work. I hadn't thought of that. Wouldn't people be too busy to talk to a student? You'd be surprised. Most people are happy to spend 20 minutes talking about their career, especially with someone genuinely interested. And it's the best way to learn what a job is really like, beyond the job title. Often students rule out or discover paths they never expected. That makes sense. It's a lot less pressure than trying to pick the perfect job right away. Exactly. Think of it as gathering information, not making a final decision. Come back after you've spoken to a few people and we'll talk through what you learned and start narrowing things down.</x:v>
      </x:c>
      <x:c r="S157" s="15" t="str">
        <x:v>none</x:v>
      </x:c>
      <x:c r="T157" s="15" t="str">
        <x:v>source_contract_preserved_subject_to_T08</x:v>
      </x:c>
      <x:c r="U157" s="15" t="str">
        <x:v>C_linguistic_segment_or_reframe_candidate</x:v>
      </x:c>
      <x:c r="V157" s="16" t="str">
        <x:v>not_started</x:v>
      </x:c>
      <x:c r="W157" s="16"/>
      <x:c r="X157" s="16"/>
      <x:c r="Y157" s="16"/>
      <x:c r="Z157" s="16"/>
      <x:c r="AA157" s="16"/>
      <x:c r="AB157" s="16"/>
      <x:c r="AC157" s="16"/>
      <x:c r="AD157" s="16"/>
      <x:c r="AE157" s="16"/>
      <x:c r="AF157" s="16"/>
      <x:c r="AG157" s="16"/>
      <x:c r="AH157" s="16"/>
      <x:c r="AI157" s="16"/>
      <x:c r="AJ157" s="16"/>
      <x:c r="AK157" s="16"/>
      <x:c r="AL157" s="16"/>
      <x:c r="AM157" s="16"/>
      <x:c r="AN157" s="16"/>
      <x:c r="AO157" s="16"/>
      <x:c r="AP157" s="16"/>
      <x:c r="AQ157" s="16"/>
      <x:c r="AR157" s="16"/>
      <x:c r="AS157" s="16"/>
      <x:c r="AT157" s="20"/>
      <x:c r="AU157" s="16"/>
      <x:c r="AV157" s="16"/>
      <x:c r="AW157" s="16" t="str">
        <x:v>pending</x:v>
      </x:c>
      <x:c r="AX157" s="17" t="str">
        <x:v>blocked_not_validated</x:v>
      </x:c>
      <x:c r="AY157" s="18" t="str">
        <x:f>IF(OR(C157="yes",X157="corrected",COUNTIF(Z157:AL157,"major")&gt;0,COUNTIF(Z157:AL157,"blocker")&gt;0,OR(AO157="repair",AO157="segment",AO157="replace",AO157="block")),"yes","no")</x:f>
        <x:v>no</x:v>
      </x:c>
      <x:c r="AZ157" s="18" t="str">
        <x:f>IF(AND(V157="reviewed",W157&gt;=1,X157&lt;&gt;"",Y157&lt;&gt;"",COUNTA(Z157:AL157)=13,AM157&lt;&gt;"",AN157&lt;&gt;"",AO157&lt;&gt;"",AP157&lt;&gt;"",AQ157&lt;&gt;"",AR157&lt;&gt;"",AS157="I_listened_at_1x_and_completed_all_required_fields",AT157&lt;&gt;"",AW157="adjudicated",OR(AY157="no",AND(AU157&lt;&gt;"",AV157&lt;&gt;""))),"complete","incomplete")</x:f>
        <x:v>incomplete</x:v>
      </x:c>
      <x:c r="BA157" s="18" t="str">
        <x:f>IF(AZ157="complete","none","faltan campos humanos, adjudicación o segunda revisión")</x:f>
        <x:v>faltan campos humanos, adjudicación o segunda revisión</x:v>
      </x:c>
    </x:row>
    <x:row r="158" ht="36" customHeight="1">
      <x:c r="A158" s="15" t="n">
        <x:v>157</x:v>
      </x:c>
      <x:c r="B158" s="15" t="str">
        <x:v>P1-LONG</x:v>
      </x:c>
      <x:c r="C158" s="15" t="str">
        <x:v>no</x:v>
      </x:c>
      <x:c r="D158" s="15" t="str">
        <x:v>asset:toefl:set-18:part-7:announcement</x:v>
      </x:c>
      <x:c r="E158" s="15" t="str">
        <x:v>set-18</x:v>
      </x:c>
      <x:c r="F158" s="15" t="str">
        <x:v>Listen to an Announcement</x:v>
      </x:c>
      <x:c r="G158" s="15" t="str">
        <x:v>/Users/josedavidduartesilva/Developer/idiomaswl/public/audio/toefl/set-18/announcement.mp3</x:v>
      </x:c>
      <x:c r="H158" s="19" t="n">
        <x:v>54.26</x:v>
      </x:c>
      <x:c r="I158" s="15" t="str">
        <x:v>P1</x:v>
      </x:c>
      <x:c r="J158" s="15" t="str">
        <x:v>100_percent_required_T08_T15</x:v>
      </x:c>
      <x:c r="K158" s="15" t="str">
        <x:v>pass_automated_T06</x:v>
      </x:c>
      <x:c r="L158" s="15" t="str">
        <x:v>none</x:v>
      </x:c>
      <x:c r="M158" s="15" t="str">
        <x:v>none</x:v>
      </x:c>
      <x:c r="N158" s="15" t="str">
        <x:v>conserve_source_technical_candidate</x:v>
      </x:c>
      <x:c r="O158" s="15" t="str">
        <x:v>source_exact_normalized_supported_pending_human</x:v>
      </x:c>
      <x:c r="P158" s="15" t="str">
        <x:v>LING-LEN-001</x:v>
      </x:c>
      <x:c r="Q158" s="15" t="str">
        <x:v>Good afternoon, students. This is an announcement about the library's new extended hours during the exam period, which begins next Monday. For the three weeks of exams, the main library will stay open twenty-four hours a day, seven days a week, so you can study whenever suits you best.
A few things to keep in mind. Overnight, from midnight to six a.m., only the main study floors will be open; the upper floors and the special collections will be closed. Security staff will be on site all night for your safety. Please remember to bring your student card, as you'll need to scan it to enter the building after ten p.m. Finally, we ask everyone to respect the quiet-study rules, especially at night when people are trying to concentrate. Free hot drinks will be available in the lobby from ten p.m. each night, courtesy of the student union. Good luck with your exams.</x:v>
      </x:c>
      <x:c r="R158" s="15" t="str">
        <x:v>Good afternoon, students. This is an announcement about the library's new extended hours during the exam period, which begins next Monday. For the three weeks of exams, the main library will stay open 24 hours a day, seven days a week, so you can study whenever suits you best. A few things to keep in mind. Overnight, from midnight to 6 a.m., only the main study floors will be open. The upper floors and the special collections will be closed. Security staff will be on-site all night for your safety. Please remember to bring your student card, as you'll need to scan it to enter the building after 10 p.m. Finally, we ask everyone to respect the quiet study rules, especially at night when people are trying to concentrate. Free hot drinks will be available in the lobby from 10 p.m. each night, courtesy of the Student Union. Good luck with your exams.</x:v>
      </x:c>
      <x:c r="S158" s="15" t="str">
        <x:v>none</x:v>
      </x:c>
      <x:c r="T158" s="15" t="str">
        <x:v>source_contract_preserved_subject_to_T08</x:v>
      </x:c>
      <x:c r="U158" s="15" t="str">
        <x:v>C_linguistic_segment_or_reframe_candidate</x:v>
      </x:c>
      <x:c r="V158" s="16" t="str">
        <x:v>not_started</x:v>
      </x:c>
      <x:c r="W158" s="16"/>
      <x:c r="X158" s="16"/>
      <x:c r="Y158" s="16"/>
      <x:c r="Z158" s="16"/>
      <x:c r="AA158" s="16"/>
      <x:c r="AB158" s="16"/>
      <x:c r="AC158" s="16"/>
      <x:c r="AD158" s="16"/>
      <x:c r="AE158" s="16"/>
      <x:c r="AF158" s="16"/>
      <x:c r="AG158" s="16"/>
      <x:c r="AH158" s="16"/>
      <x:c r="AI158" s="16"/>
      <x:c r="AJ158" s="16"/>
      <x:c r="AK158" s="16"/>
      <x:c r="AL158" s="16"/>
      <x:c r="AM158" s="16"/>
      <x:c r="AN158" s="16"/>
      <x:c r="AO158" s="16"/>
      <x:c r="AP158" s="16"/>
      <x:c r="AQ158" s="16"/>
      <x:c r="AR158" s="16"/>
      <x:c r="AS158" s="16"/>
      <x:c r="AT158" s="20"/>
      <x:c r="AU158" s="16"/>
      <x:c r="AV158" s="16"/>
      <x:c r="AW158" s="16" t="str">
        <x:v>pending</x:v>
      </x:c>
      <x:c r="AX158" s="17" t="str">
        <x:v>blocked_not_validated</x:v>
      </x:c>
      <x:c r="AY158" s="18" t="str">
        <x:f>IF(OR(C158="yes",X158="corrected",COUNTIF(Z158:AL158,"major")&gt;0,COUNTIF(Z158:AL158,"blocker")&gt;0,OR(AO158="repair",AO158="segment",AO158="replace",AO158="block")),"yes","no")</x:f>
        <x:v>no</x:v>
      </x:c>
      <x:c r="AZ158" s="18" t="str">
        <x:f>IF(AND(V158="reviewed",W158&gt;=1,X158&lt;&gt;"",Y158&lt;&gt;"",COUNTA(Z158:AL158)=13,AM158&lt;&gt;"",AN158&lt;&gt;"",AO158&lt;&gt;"",AP158&lt;&gt;"",AQ158&lt;&gt;"",AR158&lt;&gt;"",AS158="I_listened_at_1x_and_completed_all_required_fields",AT158&lt;&gt;"",AW158="adjudicated",OR(AY158="no",AND(AU158&lt;&gt;"",AV158&lt;&gt;""))),"complete","incomplete")</x:f>
        <x:v>incomplete</x:v>
      </x:c>
      <x:c r="BA158" s="18" t="str">
        <x:f>IF(AZ158="complete","none","faltan campos humanos, adjudicación o segunda revisión")</x:f>
        <x:v>faltan campos humanos, adjudicación o segunda revisión</x:v>
      </x:c>
    </x:row>
    <x:row r="159" ht="36" customHeight="1">
      <x:c r="A159" s="15" t="n">
        <x:v>158</x:v>
      </x:c>
      <x:c r="B159" s="15" t="str">
        <x:v>P1-LONG</x:v>
      </x:c>
      <x:c r="C159" s="15" t="str">
        <x:v>no</x:v>
      </x:c>
      <x:c r="D159" s="15" t="str">
        <x:v>asset:toefl:set-18:part-8:academic-talk</x:v>
      </x:c>
      <x:c r="E159" s="15" t="str">
        <x:v>set-18</x:v>
      </x:c>
      <x:c r="F159" s="15" t="str">
        <x:v>Listen to an Academic Talk</x:v>
      </x:c>
      <x:c r="G159" s="15" t="str">
        <x:v>/Users/josedavidduartesilva/Developer/idiomaswl/public/audio/toefl/set-18/academic-talk.mp3</x:v>
      </x:c>
      <x:c r="H159" s="19" t="n">
        <x:v>119.62</x:v>
      </x:c>
      <x:c r="I159" s="15" t="str">
        <x:v>P1</x:v>
      </x:c>
      <x:c r="J159" s="15" t="str">
        <x:v>100_percent_required_T08_T15</x:v>
      </x:c>
      <x:c r="K159" s="15" t="str">
        <x:v>fail_actionable</x:v>
      </x:c>
      <x:c r="L159" s="15" t="str">
        <x:v>TECH-LDN-002</x:v>
      </x:c>
      <x:c r="M159" s="15" t="str">
        <x:v>TECH-PEAK-003</x:v>
      </x:c>
      <x:c r="N159" s="15" t="str">
        <x:v>measure_gain_create_versioned_normalized_variant</x:v>
      </x:c>
      <x:c r="O159" s="15" t="str">
        <x:v>source_material_diff_pending_human</x:v>
      </x:c>
      <x:c r="P159" s="15" t="str">
        <x:v>LING-DIFF-001;LING-CRIT-001;TECH-T06-FAIL;LING-LEN-002</x:v>
      </x:c>
      <x:c r="Q159" s="15" t="str">
        <x:v>PROFESSOR: Today we're going to look at one of the most influential inventions you've probably never thought much about: the shipping container. It's just a big metal box, standardized in size, that can be lifted onto ships, trains, and trucks. It sounds unremarkable. But this simple box quietly transformed the global economy, and its story is a wonderful lesson in how sometimes the most powerful innovations aren't flashy technologies but clever standardization.
Before the shipping container, loading a cargo ship was slow, expensive, and labor-intensive. Goods arrived at the port in all shapes and sizes — barrels, sacks, crates, loose items — and armies of dockworkers had to load each item individually, packing them into the ship like a giant, awkward puzzle. This could take days, and a large fraction of shipping costs went simply to loading and unloading.
The shipping container, popularized in the nineteen fifties by an American businessman named Malcolm McLean, changed all of this. Because every container was the same standard size, goods could be packed into a container at a factory, sealed, and then moved seamlessly from truck to ship to train without ever being unpacked along the way. Cranes could load a container ship in hours rather than days. The cost of shipping goods plummeted — by some estimates, to a small fraction of what it had been.
And here's the profound consequence: when shipping becomes cheap, distance matters less. It suddenly became economical to manufacture goods on the other side of the world and ship them to consumers. The container is a major reason why global supply chains, and the globalized economy we now take for granted, are possible at all. So the next time you see a stack of those metal boxes at a port, remember: that unglamorous standardization did more to shape the modern world than many far more celebrated inventions.</x:v>
      </x:c>
      <x:c r="R159" s="15" t="str">
        <x:v>Today, we're going to look at one of the most influential inventions you've probably never thought much about. The shipping container. It's just a big metal box, standardized in size, that can be lifted onto ships, trains, and trucks. It sounds unremarkable, but this simple box quietly transformed the global economy. And its story is a wonderful lesson in how sometimes the most powerful innovations aren't flashy technologies, but clever standardization. Before the shipping container, loading a cargo ship was slow, expensive, and labor intensive. Goods arrived at the port in all shapes and sizes, barrels, sacks, crates, loose items, and armies of dock workers had to load each item individually, packing them into the ship like a giant awkward puzzle. This could take days, and a large fraction of shipping costs went simply to loading and unloading. The shipping container, popularized in the 1950s by an American businessman named Malcolm McClain, changed all of this. Because every container was the same standard size, goods could be packed into a container at a factory, sealed, and then moved seamlessly from truck to ship to train without ever being unpacked along the way. Cranes could load a container ship in hours rather than days. The cost of shipping goods plummeted by some estimates to a small fraction of what it had been. And here's the profound consequence. When shipping becomes cheap, distance matters less. It suddenly became economical to manufacture goods on the other side of the world and ship them to consumers. The container is a major reason why global supply chains and the globalized economy we now take for granted are possible at all. So, the next time you see a stack of those metal boxes at a port, remember, that unglamorous standardization did more to shape the modern world than many far more celebrated inventions.</x:v>
      </x:c>
      <x:c r="S159" s="15" t="str">
        <x:v>I:dock | S:dockworkers→workers | S:mclean→mcclain</x:v>
      </x:c>
      <x:c r="T159" s="15" t="str">
        <x:v>source_contract_preserved_subject_to_T08</x:v>
      </x:c>
      <x:c r="U159" s="15" t="str">
        <x:v>C_linguistic_segment_or_reframe_candidate</x:v>
      </x:c>
      <x:c r="V159" s="16" t="str">
        <x:v>not_started</x:v>
      </x:c>
      <x:c r="W159" s="16"/>
      <x:c r="X159" s="16"/>
      <x:c r="Y159" s="16"/>
      <x:c r="Z159" s="16"/>
      <x:c r="AA159" s="16"/>
      <x:c r="AB159" s="16"/>
      <x:c r="AC159" s="16"/>
      <x:c r="AD159" s="16"/>
      <x:c r="AE159" s="16"/>
      <x:c r="AF159" s="16"/>
      <x:c r="AG159" s="16"/>
      <x:c r="AH159" s="16"/>
      <x:c r="AI159" s="16"/>
      <x:c r="AJ159" s="16"/>
      <x:c r="AK159" s="16"/>
      <x:c r="AL159" s="16"/>
      <x:c r="AM159" s="16"/>
      <x:c r="AN159" s="16"/>
      <x:c r="AO159" s="16"/>
      <x:c r="AP159" s="16"/>
      <x:c r="AQ159" s="16"/>
      <x:c r="AR159" s="16"/>
      <x:c r="AS159" s="16"/>
      <x:c r="AT159" s="20"/>
      <x:c r="AU159" s="16"/>
      <x:c r="AV159" s="16"/>
      <x:c r="AW159" s="16" t="str">
        <x:v>pending</x:v>
      </x:c>
      <x:c r="AX159" s="17" t="str">
        <x:v>blocked_not_validated</x:v>
      </x:c>
      <x:c r="AY159" s="18" t="str">
        <x:f>IF(OR(C159="yes",X159="corrected",COUNTIF(Z159:AL159,"major")&gt;0,COUNTIF(Z159:AL159,"blocker")&gt;0,OR(AO159="repair",AO159="segment",AO159="replace",AO159="block")),"yes","no")</x:f>
        <x:v>no</x:v>
      </x:c>
      <x:c r="AZ159" s="18" t="str">
        <x:f>IF(AND(V159="reviewed",W159&gt;=1,X159&lt;&gt;"",Y159&lt;&gt;"",COUNTA(Z159:AL159)=13,AM159&lt;&gt;"",AN159&lt;&gt;"",AO159&lt;&gt;"",AP159&lt;&gt;"",AQ159&lt;&gt;"",AR159&lt;&gt;"",AS159="I_listened_at_1x_and_completed_all_required_fields",AT159&lt;&gt;"",AW159="adjudicated",OR(AY159="no",AND(AU159&lt;&gt;"",AV159&lt;&gt;""))),"complete","incomplete")</x:f>
        <x:v>incomplete</x:v>
      </x:c>
      <x:c r="BA159" s="18" t="str">
        <x:f>IF(AZ159="complete","none","faltan campos humanos, adjudicación o segunda revisión")</x:f>
        <x:v>faltan campos humanos, adjudicación o segunda revisión</x:v>
      </x:c>
    </x:row>
    <x:row r="160" ht="36" customHeight="1">
      <x:c r="A160" s="15" t="n">
        <x:v>159</x:v>
      </x:c>
      <x:c r="B160" s="15" t="str">
        <x:v>P1-REPEAT</x:v>
      </x:c>
      <x:c r="C160" s="15" t="str">
        <x:v>no</x:v>
      </x:c>
      <x:c r="D160" s="15" t="str">
        <x:v>asset:toefl:set-18:part-12:repeat-3</x:v>
      </x:c>
      <x:c r="E160" s="15" t="str">
        <x:v>set-18</x:v>
      </x:c>
      <x:c r="F160" s="15" t="str">
        <x:v>Listen and Repeat</x:v>
      </x:c>
      <x:c r="G160" s="15" t="str">
        <x:v>/Users/josedavidduartesilva/Developer/idiomaswl/public/audio/toefl/set-18/repeat-3.mp3</x:v>
      </x:c>
      <x:c r="H160" s="19" t="n">
        <x:v>3.62</x:v>
      </x:c>
      <x:c r="I160" s="15" t="str">
        <x:v>P1</x:v>
      </x:c>
      <x:c r="J160" s="15" t="str">
        <x:v>100_percent_required_T08</x:v>
      </x:c>
      <x:c r="K160" s="15" t="str">
        <x:v>pass_automated_T06</x:v>
      </x:c>
      <x:c r="L160" s="15" t="str">
        <x:v>none</x:v>
      </x:c>
      <x:c r="M160" s="15" t="str">
        <x:v>none</x:v>
      </x:c>
      <x:c r="N160" s="15" t="str">
        <x:v>conserve_source_technical_candidate</x:v>
      </x:c>
      <x:c r="O160" s="15" t="str">
        <x:v>source_material_diff_pending_human</x:v>
      </x:c>
      <x:c r="P160" s="15" t="str">
        <x:v>LING-DIFF-001</x:v>
      </x:c>
      <x:c r="Q160" s="15" t="str">
        <x:v>The farmers harvested the crops before the first frost.</x:v>
      </x:c>
      <x:c r="R160" s="15" t="str">
        <x:v>The farmers harvest in the crops before the first frost.</x:v>
      </x:c>
      <x:c r="S160" s="15" t="str">
        <x:v>I:harvest | S:harvested→in</x:v>
      </x:c>
      <x:c r="T160" s="15" t="str">
        <x:v>source_contract_preserved_subject_to_T08</x:v>
      </x:c>
      <x:c r="U160" s="15" t="str">
        <x:v>B_linguistic_adjudication_or_repair_candidate</x:v>
      </x:c>
      <x:c r="V160" s="16" t="str">
        <x:v>not_started</x:v>
      </x:c>
      <x:c r="W160" s="16"/>
      <x:c r="X160" s="16"/>
      <x:c r="Y160" s="16"/>
      <x:c r="Z160" s="16"/>
      <x:c r="AA160" s="16"/>
      <x:c r="AB160" s="16"/>
      <x:c r="AC160" s="16"/>
      <x:c r="AD160" s="16"/>
      <x:c r="AE160" s="16"/>
      <x:c r="AF160" s="16"/>
      <x:c r="AG160" s="16"/>
      <x:c r="AH160" s="16"/>
      <x:c r="AI160" s="16"/>
      <x:c r="AJ160" s="16"/>
      <x:c r="AK160" s="16"/>
      <x:c r="AL160" s="16"/>
      <x:c r="AM160" s="16"/>
      <x:c r="AN160" s="16"/>
      <x:c r="AO160" s="16"/>
      <x:c r="AP160" s="16"/>
      <x:c r="AQ160" s="16"/>
      <x:c r="AR160" s="16"/>
      <x:c r="AS160" s="16"/>
      <x:c r="AT160" s="20"/>
      <x:c r="AU160" s="16"/>
      <x:c r="AV160" s="16"/>
      <x:c r="AW160" s="16" t="str">
        <x:v>pending</x:v>
      </x:c>
      <x:c r="AX160" s="17" t="str">
        <x:v>blocked_not_validated</x:v>
      </x:c>
      <x:c r="AY160" s="18" t="str">
        <x:f>IF(OR(C160="yes",X160="corrected",COUNTIF(Z160:AL160,"major")&gt;0,COUNTIF(Z160:AL160,"blocker")&gt;0,OR(AO160="repair",AO160="segment",AO160="replace",AO160="block")),"yes","no")</x:f>
        <x:v>no</x:v>
      </x:c>
      <x:c r="AZ160" s="18" t="str">
        <x:f>IF(AND(V160="reviewed",W160&gt;=1,X160&lt;&gt;"",Y160&lt;&gt;"",COUNTA(Z160:AL160)=13,AM160&lt;&gt;"",AN160&lt;&gt;"",AO160&lt;&gt;"",AP160&lt;&gt;"",AQ160&lt;&gt;"",AR160&lt;&gt;"",AS160="I_listened_at_1x_and_completed_all_required_fields",AT160&lt;&gt;"",AW160="adjudicated",OR(AY160="no",AND(AU160&lt;&gt;"",AV160&lt;&gt;""))),"complete","incomplete")</x:f>
        <x:v>incomplete</x:v>
      </x:c>
      <x:c r="BA160" s="18" t="str">
        <x:f>IF(AZ160="complete","none","faltan campos humanos, adjudicación o segunda revisión")</x:f>
        <x:v>faltan campos humanos, adjudicación o segunda revisión</x:v>
      </x:c>
    </x:row>
    <x:row r="161" ht="36" customHeight="1">
      <x:c r="A161" s="15" t="n">
        <x:v>160</x:v>
      </x:c>
      <x:c r="B161" s="15" t="str">
        <x:v>P1-CHOOSE</x:v>
      </x:c>
      <x:c r="C161" s="15" t="str">
        <x:v>no</x:v>
      </x:c>
      <x:c r="D161" s="15" t="str">
        <x:v>asset:toefl:set-19:part-5:listen-choose-1</x:v>
      </x:c>
      <x:c r="E161" s="15" t="str">
        <x:v>set-19</x:v>
      </x:c>
      <x:c r="F161" s="15" t="str">
        <x:v>Listen and Choose a Response</x:v>
      </x:c>
      <x:c r="G161" s="15" t="str">
        <x:v>/Users/josedavidduartesilva/Developer/idiomaswl/public/audio/toefl/set-19/listen-choose-1.mp3</x:v>
      </x:c>
      <x:c r="H161" s="19" t="n">
        <x:v>3.06</x:v>
      </x:c>
      <x:c r="I161" s="15" t="str">
        <x:v>P1</x:v>
      </x:c>
      <x:c r="J161" s="15" t="str">
        <x:v>100_percent_required_T08</x:v>
      </x:c>
      <x:c r="K161" s="15" t="str">
        <x:v>pass_automated_T06</x:v>
      </x:c>
      <x:c r="L161" s="15" t="str">
        <x:v>none</x:v>
      </x:c>
      <x:c r="M161" s="15" t="str">
        <x:v>none</x:v>
      </x:c>
      <x:c r="N161" s="15" t="str">
        <x:v>conserve_source_technical_candidate</x:v>
      </x:c>
      <x:c r="O161" s="15" t="str">
        <x:v>asr_candidate_recovered_pending_human</x:v>
      </x:c>
      <x:c r="P161" s="15" t="str">
        <x:v>LING-SOURCE-001;LING-STRESS-001</x:v>
      </x:c>
      <x:c r="Q161" s="15" t="str"/>
      <x:c r="R161" s="15" t="str">
        <x:v>Excuse me, do you know where the music room is?</x:v>
      </x:c>
      <x:c r="S161" s="15" t="str">
        <x:v>no_source_candidate</x:v>
      </x:c>
      <x:c r="T161" s="15" t="str">
        <x:v>manual_exchange_review_pass_pending_T08</x:v>
      </x:c>
      <x:c r="U161" s="15" t="str">
        <x:v>B_transcript_adjudication_candidate</x:v>
      </x:c>
      <x:c r="V161" s="16" t="str">
        <x:v>not_started</x:v>
      </x:c>
      <x:c r="W161" s="16"/>
      <x:c r="X161" s="16"/>
      <x:c r="Y161" s="16"/>
      <x:c r="Z161" s="16"/>
      <x:c r="AA161" s="16"/>
      <x:c r="AB161" s="16"/>
      <x:c r="AC161" s="16"/>
      <x:c r="AD161" s="16"/>
      <x:c r="AE161" s="16"/>
      <x:c r="AF161" s="16"/>
      <x:c r="AG161" s="16"/>
      <x:c r="AH161" s="16"/>
      <x:c r="AI161" s="16"/>
      <x:c r="AJ161" s="16"/>
      <x:c r="AK161" s="16"/>
      <x:c r="AL161" s="16"/>
      <x:c r="AM161" s="16"/>
      <x:c r="AN161" s="16"/>
      <x:c r="AO161" s="16"/>
      <x:c r="AP161" s="16"/>
      <x:c r="AQ161" s="16"/>
      <x:c r="AR161" s="16"/>
      <x:c r="AS161" s="16"/>
      <x:c r="AT161" s="20"/>
      <x:c r="AU161" s="16"/>
      <x:c r="AV161" s="16"/>
      <x:c r="AW161" s="16" t="str">
        <x:v>pending</x:v>
      </x:c>
      <x:c r="AX161" s="17" t="str">
        <x:v>blocked_not_validated</x:v>
      </x:c>
      <x:c r="AY161" s="18" t="str">
        <x:f>IF(OR(C161="yes",X161="corrected",COUNTIF(Z161:AL161,"major")&gt;0,COUNTIF(Z161:AL161,"blocker")&gt;0,OR(AO161="repair",AO161="segment",AO161="replace",AO161="block")),"yes","no")</x:f>
        <x:v>no</x:v>
      </x:c>
      <x:c r="AZ161" s="18" t="str">
        <x:f>IF(AND(V161="reviewed",W161&gt;=1,X161&lt;&gt;"",Y161&lt;&gt;"",COUNTA(Z161:AL161)=13,AM161&lt;&gt;"",AN161&lt;&gt;"",AO161&lt;&gt;"",AP161&lt;&gt;"",AQ161&lt;&gt;"",AR161&lt;&gt;"",AS161="I_listened_at_1x_and_completed_all_required_fields",AT161&lt;&gt;"",AW161="adjudicated",OR(AY161="no",AND(AU161&lt;&gt;"",AV161&lt;&gt;""))),"complete","incomplete")</x:f>
        <x:v>incomplete</x:v>
      </x:c>
      <x:c r="BA161" s="18" t="str">
        <x:f>IF(AZ161="complete","none","faltan campos humanos, adjudicación o segunda revisión")</x:f>
        <x:v>faltan campos humanos, adjudicación o segunda revisión</x:v>
      </x:c>
    </x:row>
    <x:row r="162" ht="36" customHeight="1">
      <x:c r="A162" s="15" t="n">
        <x:v>161</x:v>
      </x:c>
      <x:c r="B162" s="15" t="str">
        <x:v>P1-CHOOSE</x:v>
      </x:c>
      <x:c r="C162" s="15" t="str">
        <x:v>no</x:v>
      </x:c>
      <x:c r="D162" s="15" t="str">
        <x:v>asset:toefl:set-19:part-5:listen-choose-2</x:v>
      </x:c>
      <x:c r="E162" s="15" t="str">
        <x:v>set-19</x:v>
      </x:c>
      <x:c r="F162" s="15" t="str">
        <x:v>Listen and Choose a Response</x:v>
      </x:c>
      <x:c r="G162" s="15" t="str">
        <x:v>/Users/josedavidduartesilva/Developer/idiomaswl/public/audio/toefl/set-19/listen-choose-2.mp3</x:v>
      </x:c>
      <x:c r="H162" s="19" t="n">
        <x:v>3.38</x:v>
      </x:c>
      <x:c r="I162" s="15" t="str">
        <x:v>P1</x:v>
      </x:c>
      <x:c r="J162" s="15" t="str">
        <x:v>100_percent_required_T08</x:v>
      </x:c>
      <x:c r="K162" s="15" t="str">
        <x:v>pass_automated_T06</x:v>
      </x:c>
      <x:c r="L162" s="15" t="str">
        <x:v>none</x:v>
      </x:c>
      <x:c r="M162" s="15" t="str">
        <x:v>none</x:v>
      </x:c>
      <x:c r="N162" s="15" t="str">
        <x:v>conserve_source_technical_candidate</x:v>
      </x:c>
      <x:c r="O162" s="15" t="str">
        <x:v>asr_candidate_recovered_pending_human</x:v>
      </x:c>
      <x:c r="P162" s="15" t="str">
        <x:v>LING-SOURCE-001;LING-STRESS-001</x:v>
      </x:c>
      <x:c r="Q162" s="15" t="str"/>
      <x:c r="R162" s="15" t="str">
        <x:v>Could you help me get the room ready before everyone arrives?</x:v>
      </x:c>
      <x:c r="S162" s="15" t="str">
        <x:v>no_source_candidate</x:v>
      </x:c>
      <x:c r="T162" s="15" t="str">
        <x:v>manual_exchange_review_pass_pending_T08</x:v>
      </x:c>
      <x:c r="U162" s="15" t="str">
        <x:v>B_transcript_adjudication_candidate</x:v>
      </x:c>
      <x:c r="V162" s="16" t="str">
        <x:v>not_started</x:v>
      </x:c>
      <x:c r="W162" s="16"/>
      <x:c r="X162" s="16"/>
      <x:c r="Y162" s="16"/>
      <x:c r="Z162" s="16"/>
      <x:c r="AA162" s="16"/>
      <x:c r="AB162" s="16"/>
      <x:c r="AC162" s="16"/>
      <x:c r="AD162" s="16"/>
      <x:c r="AE162" s="16"/>
      <x:c r="AF162" s="16"/>
      <x:c r="AG162" s="16"/>
      <x:c r="AH162" s="16"/>
      <x:c r="AI162" s="16"/>
      <x:c r="AJ162" s="16"/>
      <x:c r="AK162" s="16"/>
      <x:c r="AL162" s="16"/>
      <x:c r="AM162" s="16"/>
      <x:c r="AN162" s="16"/>
      <x:c r="AO162" s="16"/>
      <x:c r="AP162" s="16"/>
      <x:c r="AQ162" s="16"/>
      <x:c r="AR162" s="16"/>
      <x:c r="AS162" s="16"/>
      <x:c r="AT162" s="20"/>
      <x:c r="AU162" s="16"/>
      <x:c r="AV162" s="16"/>
      <x:c r="AW162" s="16" t="str">
        <x:v>pending</x:v>
      </x:c>
      <x:c r="AX162" s="17" t="str">
        <x:v>blocked_not_validated</x:v>
      </x:c>
      <x:c r="AY162" s="18" t="str">
        <x:f>IF(OR(C162="yes",X162="corrected",COUNTIF(Z162:AL162,"major")&gt;0,COUNTIF(Z162:AL162,"blocker")&gt;0,OR(AO162="repair",AO162="segment",AO162="replace",AO162="block")),"yes","no")</x:f>
        <x:v>no</x:v>
      </x:c>
      <x:c r="AZ162" s="18" t="str">
        <x:f>IF(AND(V162="reviewed",W162&gt;=1,X162&lt;&gt;"",Y162&lt;&gt;"",COUNTA(Z162:AL162)=13,AM162&lt;&gt;"",AN162&lt;&gt;"",AO162&lt;&gt;"",AP162&lt;&gt;"",AQ162&lt;&gt;"",AR162&lt;&gt;"",AS162="I_listened_at_1x_and_completed_all_required_fields",AT162&lt;&gt;"",AW162="adjudicated",OR(AY162="no",AND(AU162&lt;&gt;"",AV162&lt;&gt;""))),"complete","incomplete")</x:f>
        <x:v>incomplete</x:v>
      </x:c>
      <x:c r="BA162" s="18" t="str">
        <x:f>IF(AZ162="complete","none","faltan campos humanos, adjudicación o segunda revisión")</x:f>
        <x:v>faltan campos humanos, adjudicación o segunda revisión</x:v>
      </x:c>
    </x:row>
    <x:row r="163" ht="36" customHeight="1">
      <x:c r="A163" s="15" t="n">
        <x:v>162</x:v>
      </x:c>
      <x:c r="B163" s="15" t="str">
        <x:v>P1-CHOOSE</x:v>
      </x:c>
      <x:c r="C163" s="15" t="str">
        <x:v>no</x:v>
      </x:c>
      <x:c r="D163" s="15" t="str">
        <x:v>asset:toefl:set-19:part-5:listen-choose-3</x:v>
      </x:c>
      <x:c r="E163" s="15" t="str">
        <x:v>set-19</x:v>
      </x:c>
      <x:c r="F163" s="15" t="str">
        <x:v>Listen and Choose a Response</x:v>
      </x:c>
      <x:c r="G163" s="15" t="str">
        <x:v>/Users/josedavidduartesilva/Developer/idiomaswl/public/audio/toefl/set-19/listen-choose-3.mp3</x:v>
      </x:c>
      <x:c r="H163" s="19" t="n">
        <x:v>2.5</x:v>
      </x:c>
      <x:c r="I163" s="15" t="str">
        <x:v>P1</x:v>
      </x:c>
      <x:c r="J163" s="15" t="str">
        <x:v>100_percent_required_T08</x:v>
      </x:c>
      <x:c r="K163" s="15" t="str">
        <x:v>pass_automated_T06</x:v>
      </x:c>
      <x:c r="L163" s="15" t="str">
        <x:v>none</x:v>
      </x:c>
      <x:c r="M163" s="15" t="str">
        <x:v>none</x:v>
      </x:c>
      <x:c r="N163" s="15" t="str">
        <x:v>conserve_source_technical_candidate</x:v>
      </x:c>
      <x:c r="O163" s="15" t="str">
        <x:v>asr_candidate_recovered_pending_human</x:v>
      </x:c>
      <x:c r="P163" s="15" t="str">
        <x:v>LING-SOURCE-001;LING-STRESS-001</x:v>
      </x:c>
      <x:c r="Q163" s="15" t="str"/>
      <x:c r="R163" s="15" t="str">
        <x:v>Do you know where I can find the class schedule?</x:v>
      </x:c>
      <x:c r="S163" s="15" t="str">
        <x:v>no_source_candidate</x:v>
      </x:c>
      <x:c r="T163" s="15" t="str">
        <x:v>manual_exchange_review_pass_pending_T08</x:v>
      </x:c>
      <x:c r="U163" s="15" t="str">
        <x:v>B_transcript_adjudication_candidate</x:v>
      </x:c>
      <x:c r="V163" s="16" t="str">
        <x:v>not_started</x:v>
      </x:c>
      <x:c r="W163" s="16"/>
      <x:c r="X163" s="16"/>
      <x:c r="Y163" s="16"/>
      <x:c r="Z163" s="16"/>
      <x:c r="AA163" s="16"/>
      <x:c r="AB163" s="16"/>
      <x:c r="AC163" s="16"/>
      <x:c r="AD163" s="16"/>
      <x:c r="AE163" s="16"/>
      <x:c r="AF163" s="16"/>
      <x:c r="AG163" s="16"/>
      <x:c r="AH163" s="16"/>
      <x:c r="AI163" s="16"/>
      <x:c r="AJ163" s="16"/>
      <x:c r="AK163" s="16"/>
      <x:c r="AL163" s="16"/>
      <x:c r="AM163" s="16"/>
      <x:c r="AN163" s="16"/>
      <x:c r="AO163" s="16"/>
      <x:c r="AP163" s="16"/>
      <x:c r="AQ163" s="16"/>
      <x:c r="AR163" s="16"/>
      <x:c r="AS163" s="16"/>
      <x:c r="AT163" s="20"/>
      <x:c r="AU163" s="16"/>
      <x:c r="AV163" s="16"/>
      <x:c r="AW163" s="16" t="str">
        <x:v>pending</x:v>
      </x:c>
      <x:c r="AX163" s="17" t="str">
        <x:v>blocked_not_validated</x:v>
      </x:c>
      <x:c r="AY163" s="18" t="str">
        <x:f>IF(OR(C163="yes",X163="corrected",COUNTIF(Z163:AL163,"major")&gt;0,COUNTIF(Z163:AL163,"blocker")&gt;0,OR(AO163="repair",AO163="segment",AO163="replace",AO163="block")),"yes","no")</x:f>
        <x:v>no</x:v>
      </x:c>
      <x:c r="AZ163" s="18" t="str">
        <x:f>IF(AND(V163="reviewed",W163&gt;=1,X163&lt;&gt;"",Y163&lt;&gt;"",COUNTA(Z163:AL163)=13,AM163&lt;&gt;"",AN163&lt;&gt;"",AO163&lt;&gt;"",AP163&lt;&gt;"",AQ163&lt;&gt;"",AR163&lt;&gt;"",AS163="I_listened_at_1x_and_completed_all_required_fields",AT163&lt;&gt;"",AW163="adjudicated",OR(AY163="no",AND(AU163&lt;&gt;"",AV163&lt;&gt;""))),"complete","incomplete")</x:f>
        <x:v>incomplete</x:v>
      </x:c>
      <x:c r="BA163" s="18" t="str">
        <x:f>IF(AZ163="complete","none","faltan campos humanos, adjudicación o segunda revisión")</x:f>
        <x:v>faltan campos humanos, adjudicación o segunda revisión</x:v>
      </x:c>
    </x:row>
    <x:row r="164" ht="36" customHeight="1">
      <x:c r="A164" s="15" t="n">
        <x:v>163</x:v>
      </x:c>
      <x:c r="B164" s="15" t="str">
        <x:v>P1-CHOOSE</x:v>
      </x:c>
      <x:c r="C164" s="15" t="str">
        <x:v>no</x:v>
      </x:c>
      <x:c r="D164" s="15" t="str">
        <x:v>asset:toefl:set-19:part-5:listen-choose-4</x:v>
      </x:c>
      <x:c r="E164" s="15" t="str">
        <x:v>set-19</x:v>
      </x:c>
      <x:c r="F164" s="15" t="str">
        <x:v>Listen and Choose a Response</x:v>
      </x:c>
      <x:c r="G164" s="15" t="str">
        <x:v>/Users/josedavidduartesilva/Developer/idiomaswl/public/audio/toefl/set-19/listen-choose-4.mp3</x:v>
      </x:c>
      <x:c r="H164" s="19" t="n">
        <x:v>3.22</x:v>
      </x:c>
      <x:c r="I164" s="15" t="str">
        <x:v>P1</x:v>
      </x:c>
      <x:c r="J164" s="15" t="str">
        <x:v>100_percent_required_T08</x:v>
      </x:c>
      <x:c r="K164" s="15" t="str">
        <x:v>pass_automated_T06</x:v>
      </x:c>
      <x:c r="L164" s="15" t="str">
        <x:v>none</x:v>
      </x:c>
      <x:c r="M164" s="15" t="str">
        <x:v>none</x:v>
      </x:c>
      <x:c r="N164" s="15" t="str">
        <x:v>conserve_source_technical_candidate</x:v>
      </x:c>
      <x:c r="O164" s="15" t="str">
        <x:v>asr_candidate_recovered_pending_human</x:v>
      </x:c>
      <x:c r="P164" s="15" t="str">
        <x:v>LING-SOURCE-001;LING-STRESS-001;LING-DUP-001</x:v>
      </x:c>
      <x:c r="Q164" s="15" t="str"/>
      <x:c r="R164" s="15" t="str">
        <x:v>Would you mind giving me a ride to the station tomorrow?</x:v>
      </x:c>
      <x:c r="S164" s="15" t="str">
        <x:v>no_source_candidate</x:v>
      </x:c>
      <x:c r="T164" s="15" t="str">
        <x:v>manual_exchange_review_pass_pending_T08</x:v>
      </x:c>
      <x:c r="U164" s="15" t="str">
        <x:v>B_transcript_adjudication_candidate</x:v>
      </x:c>
      <x:c r="V164" s="16" t="str">
        <x:v>not_started</x:v>
      </x:c>
      <x:c r="W164" s="16"/>
      <x:c r="X164" s="16"/>
      <x:c r="Y164" s="16"/>
      <x:c r="Z164" s="16"/>
      <x:c r="AA164" s="16"/>
      <x:c r="AB164" s="16"/>
      <x:c r="AC164" s="16"/>
      <x:c r="AD164" s="16"/>
      <x:c r="AE164" s="16"/>
      <x:c r="AF164" s="16"/>
      <x:c r="AG164" s="16"/>
      <x:c r="AH164" s="16"/>
      <x:c r="AI164" s="16"/>
      <x:c r="AJ164" s="16"/>
      <x:c r="AK164" s="16"/>
      <x:c r="AL164" s="16"/>
      <x:c r="AM164" s="16"/>
      <x:c r="AN164" s="16"/>
      <x:c r="AO164" s="16"/>
      <x:c r="AP164" s="16"/>
      <x:c r="AQ164" s="16"/>
      <x:c r="AR164" s="16"/>
      <x:c r="AS164" s="16"/>
      <x:c r="AT164" s="20"/>
      <x:c r="AU164" s="16"/>
      <x:c r="AV164" s="16"/>
      <x:c r="AW164" s="16" t="str">
        <x:v>pending</x:v>
      </x:c>
      <x:c r="AX164" s="17" t="str">
        <x:v>blocked_not_validated</x:v>
      </x:c>
      <x:c r="AY164" s="18" t="str">
        <x:f>IF(OR(C164="yes",X164="corrected",COUNTIF(Z164:AL164,"major")&gt;0,COUNTIF(Z164:AL164,"blocker")&gt;0,OR(AO164="repair",AO164="segment",AO164="replace",AO164="block")),"yes","no")</x:f>
        <x:v>no</x:v>
      </x:c>
      <x:c r="AZ164" s="18" t="str">
        <x:f>IF(AND(V164="reviewed",W164&gt;=1,X164&lt;&gt;"",Y164&lt;&gt;"",COUNTA(Z164:AL164)=13,AM164&lt;&gt;"",AN164&lt;&gt;"",AO164&lt;&gt;"",AP164&lt;&gt;"",AQ164&lt;&gt;"",AR164&lt;&gt;"",AS164="I_listened_at_1x_and_completed_all_required_fields",AT164&lt;&gt;"",AW164="adjudicated",OR(AY164="no",AND(AU164&lt;&gt;"",AV164&lt;&gt;""))),"complete","incomplete")</x:f>
        <x:v>incomplete</x:v>
      </x:c>
      <x:c r="BA164" s="18" t="str">
        <x:f>IF(AZ164="complete","none","faltan campos humanos, adjudicación o segunda revisión")</x:f>
        <x:v>faltan campos humanos, adjudicación o segunda revisión</x:v>
      </x:c>
    </x:row>
    <x:row r="165" ht="36" customHeight="1">
      <x:c r="A165" s="15" t="n">
        <x:v>164</x:v>
      </x:c>
      <x:c r="B165" s="15" t="str">
        <x:v>P1-CHOOSE</x:v>
      </x:c>
      <x:c r="C165" s="15" t="str">
        <x:v>no</x:v>
      </x:c>
      <x:c r="D165" s="15" t="str">
        <x:v>asset:toefl:set-19:part-5:listen-choose-5</x:v>
      </x:c>
      <x:c r="E165" s="15" t="str">
        <x:v>set-19</x:v>
      </x:c>
      <x:c r="F165" s="15" t="str">
        <x:v>Listen and Choose a Response</x:v>
      </x:c>
      <x:c r="G165" s="15" t="str">
        <x:v>/Users/josedavidduartesilva/Developer/idiomaswl/public/audio/toefl/set-19/listen-choose-5.mp3</x:v>
      </x:c>
      <x:c r="H165" s="19" t="n">
        <x:v>3.46</x:v>
      </x:c>
      <x:c r="I165" s="15" t="str">
        <x:v>P1</x:v>
      </x:c>
      <x:c r="J165" s="15" t="str">
        <x:v>100_percent_required_T08</x:v>
      </x:c>
      <x:c r="K165" s="15" t="str">
        <x:v>pass_automated_T06</x:v>
      </x:c>
      <x:c r="L165" s="15" t="str">
        <x:v>none</x:v>
      </x:c>
      <x:c r="M165" s="15" t="str">
        <x:v>none</x:v>
      </x:c>
      <x:c r="N165" s="15" t="str">
        <x:v>conserve_source_technical_candidate</x:v>
      </x:c>
      <x:c r="O165" s="15" t="str">
        <x:v>asr_candidate_recovered_pending_human</x:v>
      </x:c>
      <x:c r="P165" s="15" t="str">
        <x:v>LING-SOURCE-001;LING-STRESS-001</x:v>
      </x:c>
      <x:c r="Q165" s="15" t="str"/>
      <x:c r="R165" s="15" t="str">
        <x:v>Did you manage to do anything exciting over the summer break?</x:v>
      </x:c>
      <x:c r="S165" s="15" t="str">
        <x:v>no_source_candidate</x:v>
      </x:c>
      <x:c r="T165" s="15" t="str">
        <x:v>manual_exchange_review_pass_pending_T08</x:v>
      </x:c>
      <x:c r="U165" s="15" t="str">
        <x:v>B_transcript_adjudication_candidate</x:v>
      </x:c>
      <x:c r="V165" s="16" t="str">
        <x:v>not_started</x:v>
      </x:c>
      <x:c r="W165" s="16"/>
      <x:c r="X165" s="16"/>
      <x:c r="Y165" s="16"/>
      <x:c r="Z165" s="16"/>
      <x:c r="AA165" s="16"/>
      <x:c r="AB165" s="16"/>
      <x:c r="AC165" s="16"/>
      <x:c r="AD165" s="16"/>
      <x:c r="AE165" s="16"/>
      <x:c r="AF165" s="16"/>
      <x:c r="AG165" s="16"/>
      <x:c r="AH165" s="16"/>
      <x:c r="AI165" s="16"/>
      <x:c r="AJ165" s="16"/>
      <x:c r="AK165" s="16"/>
      <x:c r="AL165" s="16"/>
      <x:c r="AM165" s="16"/>
      <x:c r="AN165" s="16"/>
      <x:c r="AO165" s="16"/>
      <x:c r="AP165" s="16"/>
      <x:c r="AQ165" s="16"/>
      <x:c r="AR165" s="16"/>
      <x:c r="AS165" s="16"/>
      <x:c r="AT165" s="20"/>
      <x:c r="AU165" s="16"/>
      <x:c r="AV165" s="16"/>
      <x:c r="AW165" s="16" t="str">
        <x:v>pending</x:v>
      </x:c>
      <x:c r="AX165" s="17" t="str">
        <x:v>blocked_not_validated</x:v>
      </x:c>
      <x:c r="AY165" s="18" t="str">
        <x:f>IF(OR(C165="yes",X165="corrected",COUNTIF(Z165:AL165,"major")&gt;0,COUNTIF(Z165:AL165,"blocker")&gt;0,OR(AO165="repair",AO165="segment",AO165="replace",AO165="block")),"yes","no")</x:f>
        <x:v>no</x:v>
      </x:c>
      <x:c r="AZ165" s="18" t="str">
        <x:f>IF(AND(V165="reviewed",W165&gt;=1,X165&lt;&gt;"",Y165&lt;&gt;"",COUNTA(Z165:AL165)=13,AM165&lt;&gt;"",AN165&lt;&gt;"",AO165&lt;&gt;"",AP165&lt;&gt;"",AQ165&lt;&gt;"",AR165&lt;&gt;"",AS165="I_listened_at_1x_and_completed_all_required_fields",AT165&lt;&gt;"",AW165="adjudicated",OR(AY165="no",AND(AU165&lt;&gt;"",AV165&lt;&gt;""))),"complete","incomplete")</x:f>
        <x:v>incomplete</x:v>
      </x:c>
      <x:c r="BA165" s="18" t="str">
        <x:f>IF(AZ165="complete","none","faltan campos humanos, adjudicación o segunda revisión")</x:f>
        <x:v>faltan campos humanos, adjudicación o segunda revisión</x:v>
      </x:c>
    </x:row>
    <x:row r="166" ht="36" customHeight="1">
      <x:c r="A166" s="15" t="n">
        <x:v>165</x:v>
      </x:c>
      <x:c r="B166" s="15" t="str">
        <x:v>P1-LONG</x:v>
      </x:c>
      <x:c r="C166" s="15" t="str">
        <x:v>no</x:v>
      </x:c>
      <x:c r="D166" s="15" t="str">
        <x:v>asset:toefl:set-19:part-6:conversation</x:v>
      </x:c>
      <x:c r="E166" s="15" t="str">
        <x:v>set-19</x:v>
      </x:c>
      <x:c r="F166" s="15" t="str">
        <x:v>Listen to a Conversation</x:v>
      </x:c>
      <x:c r="G166" s="15" t="str">
        <x:v>/Users/josedavidduartesilva/Developer/idiomaswl/public/audio/toefl/set-19/conversation.mp3</x:v>
      </x:c>
      <x:c r="H166" s="19" t="n">
        <x:v>79.86</x:v>
      </x:c>
      <x:c r="I166" s="15" t="str">
        <x:v>P1</x:v>
      </x:c>
      <x:c r="J166" s="15" t="str">
        <x:v>100_percent_required_T08_T15</x:v>
      </x:c>
      <x:c r="K166" s="15" t="str">
        <x:v>pass_with_actionable_warning</x:v>
      </x:c>
      <x:c r="L166" s="15" t="str">
        <x:v>none</x:v>
      </x:c>
      <x:c r="M166" s="15" t="str">
        <x:v>TECH-PEAK-003</x:v>
      </x:c>
      <x:c r="N166" s="15" t="str">
        <x:v>review_warning_in_T08_before_conserve</x:v>
      </x:c>
      <x:c r="O166" s="15" t="str">
        <x:v>source_exact_normalized_supported_pending_human</x:v>
      </x:c>
      <x:c r="P166" s="15" t="str">
        <x:v>LING-LEN-001</x:v>
      </x:c>
      <x:c r="Q166" s="15" t="str">
        <x:v>WOMAN: How's your presentation coming along? Isn't it due next week?
MAN: Ugh, don't remind me. I've done all the research, but I'm terrible at speaking in front of people. I get so nervous I forget everything.
WOMAN: I used to be exactly the same. What helped me most was practicing out loud, over and over, until the words felt automatic. Not just reading it in my head — actually saying it, ideally in front of someone.
MAN: That sounds a bit embarrassing.
WOMAN: It is at first! But that's kind of the point — if you can survive practicing in front of a friend, the real audience feels easier. I even recorded myself on my phone once and watched it back. Painful, but I noticed I was speaking way too fast and saying "um" constantly.
MAN: Speaking too fast is definitely my problem. When I'm nervous I just rush to get it over with.
WOMAN: Right. One trick is to plan deliberate pauses — mark on your notes where you'll stop, breathe, and let a point sink in. It feels slow to you but sounds confident to the audience.
MAN: That's really helpful. Would you be willing to watch me run through it once before next week?
WOMAN: Of course. Let's find a free classroom on Thursday. Honestly, one good practice run in front of a real person will do more than a dozen silent read-throughs.</x:v>
      </x:c>
      <x:c r="R166" s="15" t="str">
        <x:v>How's your presentation coming along? Isn't it due next week? Ugh, don't remind me. I've done all the research, but I'm terrible at speaking in front of people. I get so nervous, I forget everything. I used to be exactly the same. What helped me most was practicing out loud, over and over, until the words felt automatic. Not just reading it in my head, actually saying it, ideally in front of someone. That sounds a bit embarrassing. It is at first, But that's kind of the point. If you can survive practicing in front of a friend, the real audience feels easier. I even recorded myself on my phone once and watched it back. Painful, but I noticed I was speaking way too fast and saying um constantly. Speaking too fast is definitely my problem. When I'm nervous, I just rush to get it over with. Right. One trick is to plan deliberate pauses. Mark on your notes where you'll stop, breathe, and let a point sink in. It feels slow to you, but sounds confident to the audience. That's really helpful. Would you be willing to watch me run through it once before next week? Of course. Let's find a free classroom on Thursday. Honestly, one good practice run in front of a real person will do more than a dozen silent read-throughs.</x:v>
      </x:c>
      <x:c r="S166" s="15" t="str">
        <x:v>none</x:v>
      </x:c>
      <x:c r="T166" s="15" t="str">
        <x:v>source_contract_preserved_subject_to_T08</x:v>
      </x:c>
      <x:c r="U166" s="15" t="str">
        <x:v>C_linguistic_segment_or_reframe_candidate</x:v>
      </x:c>
      <x:c r="V166" s="16" t="str">
        <x:v>not_started</x:v>
      </x:c>
      <x:c r="W166" s="16"/>
      <x:c r="X166" s="16"/>
      <x:c r="Y166" s="16"/>
      <x:c r="Z166" s="16"/>
      <x:c r="AA166" s="16"/>
      <x:c r="AB166" s="16"/>
      <x:c r="AC166" s="16"/>
      <x:c r="AD166" s="16"/>
      <x:c r="AE166" s="16"/>
      <x:c r="AF166" s="16"/>
      <x:c r="AG166" s="16"/>
      <x:c r="AH166" s="16"/>
      <x:c r="AI166" s="16"/>
      <x:c r="AJ166" s="16"/>
      <x:c r="AK166" s="16"/>
      <x:c r="AL166" s="16"/>
      <x:c r="AM166" s="16"/>
      <x:c r="AN166" s="16"/>
      <x:c r="AO166" s="16"/>
      <x:c r="AP166" s="16"/>
      <x:c r="AQ166" s="16"/>
      <x:c r="AR166" s="16"/>
      <x:c r="AS166" s="16"/>
      <x:c r="AT166" s="20"/>
      <x:c r="AU166" s="16"/>
      <x:c r="AV166" s="16"/>
      <x:c r="AW166" s="16" t="str">
        <x:v>pending</x:v>
      </x:c>
      <x:c r="AX166" s="17" t="str">
        <x:v>blocked_not_validated</x:v>
      </x:c>
      <x:c r="AY166" s="18" t="str">
        <x:f>IF(OR(C166="yes",X166="corrected",COUNTIF(Z166:AL166,"major")&gt;0,COUNTIF(Z166:AL166,"blocker")&gt;0,OR(AO166="repair",AO166="segment",AO166="replace",AO166="block")),"yes","no")</x:f>
        <x:v>no</x:v>
      </x:c>
      <x:c r="AZ166" s="18" t="str">
        <x:f>IF(AND(V166="reviewed",W166&gt;=1,X166&lt;&gt;"",Y166&lt;&gt;"",COUNTA(Z166:AL166)=13,AM166&lt;&gt;"",AN166&lt;&gt;"",AO166&lt;&gt;"",AP166&lt;&gt;"",AQ166&lt;&gt;"",AR166&lt;&gt;"",AS166="I_listened_at_1x_and_completed_all_required_fields",AT166&lt;&gt;"",AW166="adjudicated",OR(AY166="no",AND(AU166&lt;&gt;"",AV166&lt;&gt;""))),"complete","incomplete")</x:f>
        <x:v>incomplete</x:v>
      </x:c>
      <x:c r="BA166" s="18" t="str">
        <x:f>IF(AZ166="complete","none","faltan campos humanos, adjudicación o segunda revisión")</x:f>
        <x:v>faltan campos humanos, adjudicación o segunda revisión</x:v>
      </x:c>
    </x:row>
    <x:row r="167" ht="36" customHeight="1">
      <x:c r="A167" s="15" t="n">
        <x:v>166</x:v>
      </x:c>
      <x:c r="B167" s="15" t="str">
        <x:v>P1-LONG</x:v>
      </x:c>
      <x:c r="C167" s="15" t="str">
        <x:v>no</x:v>
      </x:c>
      <x:c r="D167" s="15" t="str">
        <x:v>asset:toefl:set-19:part-7:announcement</x:v>
      </x:c>
      <x:c r="E167" s="15" t="str">
        <x:v>set-19</x:v>
      </x:c>
      <x:c r="F167" s="15" t="str">
        <x:v>Listen to an Announcement</x:v>
      </x:c>
      <x:c r="G167" s="15" t="str">
        <x:v>/Users/josedavidduartesilva/Developer/idiomaswl/public/audio/toefl/set-19/announcement.mp3</x:v>
      </x:c>
      <x:c r="H167" s="19" t="n">
        <x:v>51.94</x:v>
      </x:c>
      <x:c r="I167" s="15" t="str">
        <x:v>P1</x:v>
      </x:c>
      <x:c r="J167" s="15" t="str">
        <x:v>100_percent_required_T08_T15</x:v>
      </x:c>
      <x:c r="K167" s="15" t="str">
        <x:v>pass_with_actionable_warning</x:v>
      </x:c>
      <x:c r="L167" s="15" t="str">
        <x:v>none</x:v>
      </x:c>
      <x:c r="M167" s="15" t="str">
        <x:v>TECH-PEAK-003</x:v>
      </x:c>
      <x:c r="N167" s="15" t="str">
        <x:v>review_warning_in_T08_before_conserve</x:v>
      </x:c>
      <x:c r="O167" s="15" t="str">
        <x:v>source_material_diff_pending_human</x:v>
      </x:c>
      <x:c r="P167" s="15" t="str">
        <x:v>LING-DIFF-001;LING-LEN-001</x:v>
      </x:c>
      <x:c r="Q167" s="15" t="str">
        <x:v>Good afternoon, everyone. This is an announcement about changes to the campus bus service starting next month. In response to student feedback, we are adding a new route that connects the main campus to the science campus, which many of you have said is difficult to reach.
The new route, number seven, will run every twenty minutes between eight a.m. and eight p.m. on weekdays. It stops at the main library, the student center, and the science campus entrance. Like all campus buses, it is free for students with a valid ID. In addition, we are extending the evening service on the existing routes until eleven p.m., so those of you studying late will have a way to get home safely. Updated route maps and timetables will be posted at every bus stop and on the transport page of the university website by the end of this week. Thank you for your feedback — it genuinely shapes these decisions.</x:v>
      </x:c>
      <x:c r="R167" s="15" t="str">
        <x:v>Good afternoon everyone. This is an announcement about changes to the Campus Bus Service starting next month. In response to student feedback, we are adding a new route that connects the main campus to the science campus, which many of you have said is difficult to reach. The new route number 7 will run every 20 minutes between 8am and 8pm on weekdays. It stops at the main library, the student center, and the science campus entrance. Like all campus buses, it is free for students with a valid ID. In addition, we are extending the evening service on the existing routes until 11 p.m., so those of you studying late will have a way to get home safely. Updated route maps and timetables will be posted at every bus stop and on the transport page of the university website by the end of this week. Thank you for your feedback. It genuinely shapes these decisions.</x:v>
      </x:c>
      <x:c r="S167" s="15" t="str">
        <x:v>D:a | S:m→am | D:p | S:m→pm</x:v>
      </x:c>
      <x:c r="T167" s="15" t="str">
        <x:v>source_contract_preserved_subject_to_T08</x:v>
      </x:c>
      <x:c r="U167" s="15" t="str">
        <x:v>C_linguistic_segment_or_reframe_candidate</x:v>
      </x:c>
      <x:c r="V167" s="16" t="str">
        <x:v>not_started</x:v>
      </x:c>
      <x:c r="W167" s="16"/>
      <x:c r="X167" s="16"/>
      <x:c r="Y167" s="16"/>
      <x:c r="Z167" s="16"/>
      <x:c r="AA167" s="16"/>
      <x:c r="AB167" s="16"/>
      <x:c r="AC167" s="16"/>
      <x:c r="AD167" s="16"/>
      <x:c r="AE167" s="16"/>
      <x:c r="AF167" s="16"/>
      <x:c r="AG167" s="16"/>
      <x:c r="AH167" s="16"/>
      <x:c r="AI167" s="16"/>
      <x:c r="AJ167" s="16"/>
      <x:c r="AK167" s="16"/>
      <x:c r="AL167" s="16"/>
      <x:c r="AM167" s="16"/>
      <x:c r="AN167" s="16"/>
      <x:c r="AO167" s="16"/>
      <x:c r="AP167" s="16"/>
      <x:c r="AQ167" s="16"/>
      <x:c r="AR167" s="16"/>
      <x:c r="AS167" s="16"/>
      <x:c r="AT167" s="20"/>
      <x:c r="AU167" s="16"/>
      <x:c r="AV167" s="16"/>
      <x:c r="AW167" s="16" t="str">
        <x:v>pending</x:v>
      </x:c>
      <x:c r="AX167" s="17" t="str">
        <x:v>blocked_not_validated</x:v>
      </x:c>
      <x:c r="AY167" s="18" t="str">
        <x:f>IF(OR(C167="yes",X167="corrected",COUNTIF(Z167:AL167,"major")&gt;0,COUNTIF(Z167:AL167,"blocker")&gt;0,OR(AO167="repair",AO167="segment",AO167="replace",AO167="block")),"yes","no")</x:f>
        <x:v>no</x:v>
      </x:c>
      <x:c r="AZ167" s="18" t="str">
        <x:f>IF(AND(V167="reviewed",W167&gt;=1,X167&lt;&gt;"",Y167&lt;&gt;"",COUNTA(Z167:AL167)=13,AM167&lt;&gt;"",AN167&lt;&gt;"",AO167&lt;&gt;"",AP167&lt;&gt;"",AQ167&lt;&gt;"",AR167&lt;&gt;"",AS167="I_listened_at_1x_and_completed_all_required_fields",AT167&lt;&gt;"",AW167="adjudicated",OR(AY167="no",AND(AU167&lt;&gt;"",AV167&lt;&gt;""))),"complete","incomplete")</x:f>
        <x:v>incomplete</x:v>
      </x:c>
      <x:c r="BA167" s="18" t="str">
        <x:f>IF(AZ167="complete","none","faltan campos humanos, adjudicación o segunda revisión")</x:f>
        <x:v>faltan campos humanos, adjudicación o segunda revisión</x:v>
      </x:c>
    </x:row>
    <x:row r="168" ht="36" customHeight="1">
      <x:c r="A168" s="15" t="n">
        <x:v>167</x:v>
      </x:c>
      <x:c r="B168" s="15" t="str">
        <x:v>P1-LONG</x:v>
      </x:c>
      <x:c r="C168" s="15" t="str">
        <x:v>no</x:v>
      </x:c>
      <x:c r="D168" s="15" t="str">
        <x:v>asset:toefl:set-19:part-8:academic-talk</x:v>
      </x:c>
      <x:c r="E168" s="15" t="str">
        <x:v>set-19</x:v>
      </x:c>
      <x:c r="F168" s="15" t="str">
        <x:v>Listen to an Academic Talk</x:v>
      </x:c>
      <x:c r="G168" s="15" t="str">
        <x:v>/Users/josedavidduartesilva/Developer/idiomaswl/public/audio/toefl/set-19/academic-talk.mp3</x:v>
      </x:c>
      <x:c r="H168" s="19" t="n">
        <x:v>118.66</x:v>
      </x:c>
      <x:c r="I168" s="15" t="str">
        <x:v>P1</x:v>
      </x:c>
      <x:c r="J168" s="15" t="str">
        <x:v>100_percent_required_T08_T15</x:v>
      </x:c>
      <x:c r="K168" s="15" t="str">
        <x:v>fail_actionable</x:v>
      </x:c>
      <x:c r="L168" s="15" t="str">
        <x:v>TECH-LDN-002</x:v>
      </x:c>
      <x:c r="M168" s="15" t="str">
        <x:v>none</x:v>
      </x:c>
      <x:c r="N168" s="15" t="str">
        <x:v>measure_gain_create_versioned_normalized_variant</x:v>
      </x:c>
      <x:c r="O168" s="15" t="str">
        <x:v>source_exact_normalized_supported_pending_human</x:v>
      </x:c>
      <x:c r="P168" s="15" t="str">
        <x:v>TECH-T06-FAIL;LING-LEN-002</x:v>
      </x:c>
      <x:c r="Q168" s="15" t="str">
        <x:v>PROFESSOR: Today I want to explore a question that sits at the crossroads of biology and psychology: why do humans, and many animals, play? Play seems, at first glance, like a waste of time and energy. A young animal running, wrestling, or chasing could instead be resting or searching for food. Play can even be dangerous — a playing animal is distracted and more vulnerable to predators. So from an evolutionary standpoint, if play were truly useless, we'd expect it to have been eliminated. The fact that it's so widespread suggests it must be doing something important.
The leading explanation is that play is a form of practice. When young animals play-fight, they're rehearsing the movements and skills they'll need as adults — hunting, escaping, competing, or cooperating. A kitten pouncing on a ball of yarn is practicing the same motions it would use to catch prey. In this view, play is a safe way to build physical skills and coordination before the stakes become real.
But play seems to do more than build physical skills. In social animals, play also appears to teach crucial social lessons. Through play, young animals learn to read each other's signals, to take turns, and to manage conflict. Importantly, they learn the limits — how hard they can bite in a play-fight before a companion gets genuinely upset. Researchers have found that animals which are deprived of play often grow into adults that struggle socially, overreacting to normal interactions.
And here's a point I find especially interesting: play may also foster flexibility and creativity. By trying out unusual actions and combinations in a low-stakes setting, a playful animal — or child — may develop the ability to improvise and solve novel problems. So while play looks frivolous, it may be one of nature's most sophisticated methods of learning. The next time you see children or animals at play, remember: they are almost certainly doing serious developmental work, disguised as fun.</x:v>
      </x:c>
      <x:c r="R168" s="15" t="str">
        <x:v>Today I want to explore a question that sits at the crossroads of biology and psychology. Why do humans and many animals play? Play seems at first glance like a waste of time and energy. A young animal running, wrestling or chasing could instead be resting or searching for food. Play can even be dangerous. A playing animal is distracted and more vulnerable to predators. So from an evolutionary standpoint, if play were truly useless, we'd expect it to have been eliminated. The fact that it's so widespread suggests it must be doing something important. The leading explanation is that play is a form of practice. When young animals play fight, they're rehearsing the movements and skills they'll need as adults, hunting, escaping, competing, or cooperating. A kitten pouncing on a ball of yarn is practicing the same motions it would use to catch prey. In this view, play is a safe way to build physical skills and coordination before the stakes become real. But play seems to do more than build physical skills. In social animals, play also appears to teach crucial social lessons. Through play, young animals learn to read each other's signals, to take turns, and to manage conflict. Importantly, they learn the limits. How hard they can bite in a play fight before a companion gets genuinely upset. Researchers have found that animals which are deprived of play often grow into adults that struggle socially, overreacting to normal interactions. And here's a point I find especially interesting. Play may also foster flexibility and creativity. By trying out unusual actions and combinations in a low-stakes setting, a playful animal, or child, may develop the ability to improvise and solve novel problems. So while play looks frivolous, it may be one of nature's most sophisticated methods of learning. The next time you see children or animals at play, remember, they are almost certainly doing serious developmental work, disguised as fun.</x:v>
      </x:c>
      <x:c r="S168" s="15" t="str">
        <x:v>none</x:v>
      </x:c>
      <x:c r="T168" s="15" t="str">
        <x:v>source_contract_preserved_subject_to_T08</x:v>
      </x:c>
      <x:c r="U168" s="15" t="str">
        <x:v>C_linguistic_segment_or_reframe_candidate</x:v>
      </x:c>
      <x:c r="V168" s="16" t="str">
        <x:v>not_started</x:v>
      </x:c>
      <x:c r="W168" s="16"/>
      <x:c r="X168" s="16"/>
      <x:c r="Y168" s="16"/>
      <x:c r="Z168" s="16"/>
      <x:c r="AA168" s="16"/>
      <x:c r="AB168" s="16"/>
      <x:c r="AC168" s="16"/>
      <x:c r="AD168" s="16"/>
      <x:c r="AE168" s="16"/>
      <x:c r="AF168" s="16"/>
      <x:c r="AG168" s="16"/>
      <x:c r="AH168" s="16"/>
      <x:c r="AI168" s="16"/>
      <x:c r="AJ168" s="16"/>
      <x:c r="AK168" s="16"/>
      <x:c r="AL168" s="16"/>
      <x:c r="AM168" s="16"/>
      <x:c r="AN168" s="16"/>
      <x:c r="AO168" s="16"/>
      <x:c r="AP168" s="16"/>
      <x:c r="AQ168" s="16"/>
      <x:c r="AR168" s="16"/>
      <x:c r="AS168" s="16"/>
      <x:c r="AT168" s="20"/>
      <x:c r="AU168" s="16"/>
      <x:c r="AV168" s="16"/>
      <x:c r="AW168" s="16" t="str">
        <x:v>pending</x:v>
      </x:c>
      <x:c r="AX168" s="17" t="str">
        <x:v>blocked_not_validated</x:v>
      </x:c>
      <x:c r="AY168" s="18" t="str">
        <x:f>IF(OR(C168="yes",X168="corrected",COUNTIF(Z168:AL168,"major")&gt;0,COUNTIF(Z168:AL168,"blocker")&gt;0,OR(AO168="repair",AO168="segment",AO168="replace",AO168="block")),"yes","no")</x:f>
        <x:v>no</x:v>
      </x:c>
      <x:c r="AZ168" s="18" t="str">
        <x:f>IF(AND(V168="reviewed",W168&gt;=1,X168&lt;&gt;"",Y168&lt;&gt;"",COUNTA(Z168:AL168)=13,AM168&lt;&gt;"",AN168&lt;&gt;"",AO168&lt;&gt;"",AP168&lt;&gt;"",AQ168&lt;&gt;"",AR168&lt;&gt;"",AS168="I_listened_at_1x_and_completed_all_required_fields",AT168&lt;&gt;"",AW168="adjudicated",OR(AY168="no",AND(AU168&lt;&gt;"",AV168&lt;&gt;""))),"complete","incomplete")</x:f>
        <x:v>incomplete</x:v>
      </x:c>
      <x:c r="BA168" s="18" t="str">
        <x:f>IF(AZ168="complete","none","faltan campos humanos, adjudicación o segunda revisión")</x:f>
        <x:v>faltan campos humanos, adjudicación o segunda revisión</x:v>
      </x:c>
    </x:row>
    <x:row r="169" ht="36" customHeight="1">
      <x:c r="A169" s="15" t="n">
        <x:v>168</x:v>
      </x:c>
      <x:c r="B169" s="15" t="str">
        <x:v>P1-CHOOSE</x:v>
      </x:c>
      <x:c r="C169" s="15" t="str">
        <x:v>no</x:v>
      </x:c>
      <x:c r="D169" s="15" t="str">
        <x:v>asset:toefl:set-20:part-5:listen-choose-1</x:v>
      </x:c>
      <x:c r="E169" s="15" t="str">
        <x:v>set-20</x:v>
      </x:c>
      <x:c r="F169" s="15" t="str">
        <x:v>Listen and Choose a Response</x:v>
      </x:c>
      <x:c r="G169" s="15" t="str">
        <x:v>/Users/josedavidduartesilva/Developer/idiomaswl/public/audio/toefl/set-20/listen-choose-1.mp3</x:v>
      </x:c>
      <x:c r="H169" s="19" t="n">
        <x:v>3.62</x:v>
      </x:c>
      <x:c r="I169" s="15" t="str">
        <x:v>P1</x:v>
      </x:c>
      <x:c r="J169" s="15" t="str">
        <x:v>100_percent_required_T08</x:v>
      </x:c>
      <x:c r="K169" s="15" t="str">
        <x:v>pass_automated_T06</x:v>
      </x:c>
      <x:c r="L169" s="15" t="str">
        <x:v>none</x:v>
      </x:c>
      <x:c r="M169" s="15" t="str">
        <x:v>none</x:v>
      </x:c>
      <x:c r="N169" s="15" t="str">
        <x:v>conserve_source_technical_candidate</x:v>
      </x:c>
      <x:c r="O169" s="15" t="str">
        <x:v>asr_candidate_recovered_pending_human</x:v>
      </x:c>
      <x:c r="P169" s="15" t="str">
        <x:v>LING-SOURCE-001;LING-STRESS-001</x:v>
      </x:c>
      <x:c r="Q169" s="15" t="str"/>
      <x:c r="R169" s="15" t="str">
        <x:v>Excuse me, do you happen to know where the library is?</x:v>
      </x:c>
      <x:c r="S169" s="15" t="str">
        <x:v>no_source_candidate</x:v>
      </x:c>
      <x:c r="T169" s="15" t="str">
        <x:v>manual_exchange_review_pass_pending_T08</x:v>
      </x:c>
      <x:c r="U169" s="15" t="str">
        <x:v>B_transcript_adjudication_candidate</x:v>
      </x:c>
      <x:c r="V169" s="16" t="str">
        <x:v>not_started</x:v>
      </x:c>
      <x:c r="W169" s="16"/>
      <x:c r="X169" s="16"/>
      <x:c r="Y169" s="16"/>
      <x:c r="Z169" s="16"/>
      <x:c r="AA169" s="16"/>
      <x:c r="AB169" s="16"/>
      <x:c r="AC169" s="16"/>
      <x:c r="AD169" s="16"/>
      <x:c r="AE169" s="16"/>
      <x:c r="AF169" s="16"/>
      <x:c r="AG169" s="16"/>
      <x:c r="AH169" s="16"/>
      <x:c r="AI169" s="16"/>
      <x:c r="AJ169" s="16"/>
      <x:c r="AK169" s="16"/>
      <x:c r="AL169" s="16"/>
      <x:c r="AM169" s="16"/>
      <x:c r="AN169" s="16"/>
      <x:c r="AO169" s="16"/>
      <x:c r="AP169" s="16"/>
      <x:c r="AQ169" s="16"/>
      <x:c r="AR169" s="16"/>
      <x:c r="AS169" s="16"/>
      <x:c r="AT169" s="20"/>
      <x:c r="AU169" s="16"/>
      <x:c r="AV169" s="16"/>
      <x:c r="AW169" s="16" t="str">
        <x:v>pending</x:v>
      </x:c>
      <x:c r="AX169" s="17" t="str">
        <x:v>blocked_not_validated</x:v>
      </x:c>
      <x:c r="AY169" s="18" t="str">
        <x:f>IF(OR(C169="yes",X169="corrected",COUNTIF(Z169:AL169,"major")&gt;0,COUNTIF(Z169:AL169,"blocker")&gt;0,OR(AO169="repair",AO169="segment",AO169="replace",AO169="block")),"yes","no")</x:f>
        <x:v>no</x:v>
      </x:c>
      <x:c r="AZ169" s="18" t="str">
        <x:f>IF(AND(V169="reviewed",W169&gt;=1,X169&lt;&gt;"",Y169&lt;&gt;"",COUNTA(Z169:AL169)=13,AM169&lt;&gt;"",AN169&lt;&gt;"",AO169&lt;&gt;"",AP169&lt;&gt;"",AQ169&lt;&gt;"",AR169&lt;&gt;"",AS169="I_listened_at_1x_and_completed_all_required_fields",AT169&lt;&gt;"",AW169="adjudicated",OR(AY169="no",AND(AU169&lt;&gt;"",AV169&lt;&gt;""))),"complete","incomplete")</x:f>
        <x:v>incomplete</x:v>
      </x:c>
      <x:c r="BA169" s="18" t="str">
        <x:f>IF(AZ169="complete","none","faltan campos humanos, adjudicación o segunda revisión")</x:f>
        <x:v>faltan campos humanos, adjudicación o segunda revisión</x:v>
      </x:c>
    </x:row>
    <x:row r="170" ht="36" customHeight="1">
      <x:c r="A170" s="15" t="n">
        <x:v>169</x:v>
      </x:c>
      <x:c r="B170" s="15" t="str">
        <x:v>P1-CHOOSE</x:v>
      </x:c>
      <x:c r="C170" s="15" t="str">
        <x:v>no</x:v>
      </x:c>
      <x:c r="D170" s="15" t="str">
        <x:v>asset:toefl:set-20:part-5:listen-choose-2</x:v>
      </x:c>
      <x:c r="E170" s="15" t="str">
        <x:v>set-20</x:v>
      </x:c>
      <x:c r="F170" s="15" t="str">
        <x:v>Listen and Choose a Response</x:v>
      </x:c>
      <x:c r="G170" s="15" t="str">
        <x:v>/Users/josedavidduartesilva/Developer/idiomaswl/public/audio/toefl/set-20/listen-choose-2.mp3</x:v>
      </x:c>
      <x:c r="H170" s="19" t="n">
        <x:v>3.78</x:v>
      </x:c>
      <x:c r="I170" s="15" t="str">
        <x:v>P1</x:v>
      </x:c>
      <x:c r="J170" s="15" t="str">
        <x:v>100_percent_required_T08</x:v>
      </x:c>
      <x:c r="K170" s="15" t="str">
        <x:v>fail_actionable</x:v>
      </x:c>
      <x:c r="L170" s="15" t="str">
        <x:v>TECH-SIL-002</x:v>
      </x:c>
      <x:c r="M170" s="15" t="str">
        <x:v>none</x:v>
      </x:c>
      <x:c r="N170" s="15" t="str">
        <x:v>review_edges_create_versioned_trim_variant</x:v>
      </x:c>
      <x:c r="O170" s="15" t="str">
        <x:v>asr_candidate_recovered_pending_human</x:v>
      </x:c>
      <x:c r="P170" s="15" t="str">
        <x:v>LING-SOURCE-001;TECH-T06-FAIL;LING-STRESS-001</x:v>
      </x:c>
      <x:c r="Q170" s="15" t="str"/>
      <x:c r="R170" s="15" t="str">
        <x:v>Could you help me figure out how to use this coffee machine?</x:v>
      </x:c>
      <x:c r="S170" s="15" t="str">
        <x:v>no_source_candidate</x:v>
      </x:c>
      <x:c r="T170" s="15" t="str">
        <x:v>manual_exchange_review_pass_pending_T08</x:v>
      </x:c>
      <x:c r="U170" s="15" t="str">
        <x:v>B_transcript_adjudication_candidate</x:v>
      </x:c>
      <x:c r="V170" s="16" t="str">
        <x:v>not_started</x:v>
      </x:c>
      <x:c r="W170" s="16"/>
      <x:c r="X170" s="16"/>
      <x:c r="Y170" s="16"/>
      <x:c r="Z170" s="16"/>
      <x:c r="AA170" s="16"/>
      <x:c r="AB170" s="16"/>
      <x:c r="AC170" s="16"/>
      <x:c r="AD170" s="16"/>
      <x:c r="AE170" s="16"/>
      <x:c r="AF170" s="16"/>
      <x:c r="AG170" s="16"/>
      <x:c r="AH170" s="16"/>
      <x:c r="AI170" s="16"/>
      <x:c r="AJ170" s="16"/>
      <x:c r="AK170" s="16"/>
      <x:c r="AL170" s="16"/>
      <x:c r="AM170" s="16"/>
      <x:c r="AN170" s="16"/>
      <x:c r="AO170" s="16"/>
      <x:c r="AP170" s="16"/>
      <x:c r="AQ170" s="16"/>
      <x:c r="AR170" s="16"/>
      <x:c r="AS170" s="16"/>
      <x:c r="AT170" s="20"/>
      <x:c r="AU170" s="16"/>
      <x:c r="AV170" s="16"/>
      <x:c r="AW170" s="16" t="str">
        <x:v>pending</x:v>
      </x:c>
      <x:c r="AX170" s="17" t="str">
        <x:v>blocked_not_validated</x:v>
      </x:c>
      <x:c r="AY170" s="18" t="str">
        <x:f>IF(OR(C170="yes",X170="corrected",COUNTIF(Z170:AL170,"major")&gt;0,COUNTIF(Z170:AL170,"blocker")&gt;0,OR(AO170="repair",AO170="segment",AO170="replace",AO170="block")),"yes","no")</x:f>
        <x:v>no</x:v>
      </x:c>
      <x:c r="AZ170" s="18" t="str">
        <x:f>IF(AND(V170="reviewed",W170&gt;=1,X170&lt;&gt;"",Y170&lt;&gt;"",COUNTA(Z170:AL170)=13,AM170&lt;&gt;"",AN170&lt;&gt;"",AO170&lt;&gt;"",AP170&lt;&gt;"",AQ170&lt;&gt;"",AR170&lt;&gt;"",AS170="I_listened_at_1x_and_completed_all_required_fields",AT170&lt;&gt;"",AW170="adjudicated",OR(AY170="no",AND(AU170&lt;&gt;"",AV170&lt;&gt;""))),"complete","incomplete")</x:f>
        <x:v>incomplete</x:v>
      </x:c>
      <x:c r="BA170" s="18" t="str">
        <x:f>IF(AZ170="complete","none","faltan campos humanos, adjudicación o segunda revisión")</x:f>
        <x:v>faltan campos humanos, adjudicación o segunda revisión</x:v>
      </x:c>
    </x:row>
    <x:row r="171" ht="36" customHeight="1">
      <x:c r="A171" s="15" t="n">
        <x:v>170</x:v>
      </x:c>
      <x:c r="B171" s="15" t="str">
        <x:v>P1-CHOOSE</x:v>
      </x:c>
      <x:c r="C171" s="15" t="str">
        <x:v>no</x:v>
      </x:c>
      <x:c r="D171" s="15" t="str">
        <x:v>asset:toefl:set-20:part-5:listen-choose-3</x:v>
      </x:c>
      <x:c r="E171" s="15" t="str">
        <x:v>set-20</x:v>
      </x:c>
      <x:c r="F171" s="15" t="str">
        <x:v>Listen and Choose a Response</x:v>
      </x:c>
      <x:c r="G171" s="15" t="str">
        <x:v>/Users/josedavidduartesilva/Developer/idiomaswl/public/audio/toefl/set-20/listen-choose-3.mp3</x:v>
      </x:c>
      <x:c r="H171" s="19" t="n">
        <x:v>2.82</x:v>
      </x:c>
      <x:c r="I171" s="15" t="str">
        <x:v>P1</x:v>
      </x:c>
      <x:c r="J171" s="15" t="str">
        <x:v>100_percent_required_T08</x:v>
      </x:c>
      <x:c r="K171" s="15" t="str">
        <x:v>pass_automated_T06</x:v>
      </x:c>
      <x:c r="L171" s="15" t="str">
        <x:v>none</x:v>
      </x:c>
      <x:c r="M171" s="15" t="str">
        <x:v>none</x:v>
      </x:c>
      <x:c r="N171" s="15" t="str">
        <x:v>conserve_source_technical_candidate</x:v>
      </x:c>
      <x:c r="O171" s="15" t="str">
        <x:v>asr_candidate_recovered_pending_human</x:v>
      </x:c>
      <x:c r="P171" s="15" t="str">
        <x:v>LING-SOURCE-001;LING-STRESS-001</x:v>
      </x:c>
      <x:c r="Q171" s="15" t="str"/>
      <x:c r="R171" s="15" t="str">
        <x:v>When will we find out how we did on the exam?</x:v>
      </x:c>
      <x:c r="S171" s="15" t="str">
        <x:v>no_source_candidate</x:v>
      </x:c>
      <x:c r="T171" s="15" t="str">
        <x:v>manual_exchange_review_pass_pending_T08</x:v>
      </x:c>
      <x:c r="U171" s="15" t="str">
        <x:v>B_transcript_adjudication_candidate</x:v>
      </x:c>
      <x:c r="V171" s="16" t="str">
        <x:v>not_started</x:v>
      </x:c>
      <x:c r="W171" s="16"/>
      <x:c r="X171" s="16"/>
      <x:c r="Y171" s="16"/>
      <x:c r="Z171" s="16"/>
      <x:c r="AA171" s="16"/>
      <x:c r="AB171" s="16"/>
      <x:c r="AC171" s="16"/>
      <x:c r="AD171" s="16"/>
      <x:c r="AE171" s="16"/>
      <x:c r="AF171" s="16"/>
      <x:c r="AG171" s="16"/>
      <x:c r="AH171" s="16"/>
      <x:c r="AI171" s="16"/>
      <x:c r="AJ171" s="16"/>
      <x:c r="AK171" s="16"/>
      <x:c r="AL171" s="16"/>
      <x:c r="AM171" s="16"/>
      <x:c r="AN171" s="16"/>
      <x:c r="AO171" s="16"/>
      <x:c r="AP171" s="16"/>
      <x:c r="AQ171" s="16"/>
      <x:c r="AR171" s="16"/>
      <x:c r="AS171" s="16"/>
      <x:c r="AT171" s="20"/>
      <x:c r="AU171" s="16"/>
      <x:c r="AV171" s="16"/>
      <x:c r="AW171" s="16" t="str">
        <x:v>pending</x:v>
      </x:c>
      <x:c r="AX171" s="17" t="str">
        <x:v>blocked_not_validated</x:v>
      </x:c>
      <x:c r="AY171" s="18" t="str">
        <x:f>IF(OR(C171="yes",X171="corrected",COUNTIF(Z171:AL171,"major")&gt;0,COUNTIF(Z171:AL171,"blocker")&gt;0,OR(AO171="repair",AO171="segment",AO171="replace",AO171="block")),"yes","no")</x:f>
        <x:v>no</x:v>
      </x:c>
      <x:c r="AZ171" s="18" t="str">
        <x:f>IF(AND(V171="reviewed",W171&gt;=1,X171&lt;&gt;"",Y171&lt;&gt;"",COUNTA(Z171:AL171)=13,AM171&lt;&gt;"",AN171&lt;&gt;"",AO171&lt;&gt;"",AP171&lt;&gt;"",AQ171&lt;&gt;"",AR171&lt;&gt;"",AS171="I_listened_at_1x_and_completed_all_required_fields",AT171&lt;&gt;"",AW171="adjudicated",OR(AY171="no",AND(AU171&lt;&gt;"",AV171&lt;&gt;""))),"complete","incomplete")</x:f>
        <x:v>incomplete</x:v>
      </x:c>
      <x:c r="BA171" s="18" t="str">
        <x:f>IF(AZ171="complete","none","faltan campos humanos, adjudicación o segunda revisión")</x:f>
        <x:v>faltan campos humanos, adjudicación o segunda revisión</x:v>
      </x:c>
    </x:row>
    <x:row r="172" ht="36" customHeight="1">
      <x:c r="A172" s="15" t="n">
        <x:v>171</x:v>
      </x:c>
      <x:c r="B172" s="15" t="str">
        <x:v>P1-CHOOSE</x:v>
      </x:c>
      <x:c r="C172" s="15" t="str">
        <x:v>no</x:v>
      </x:c>
      <x:c r="D172" s="15" t="str">
        <x:v>asset:toefl:set-20:part-5:listen-choose-4</x:v>
      </x:c>
      <x:c r="E172" s="15" t="str">
        <x:v>set-20</x:v>
      </x:c>
      <x:c r="F172" s="15" t="str">
        <x:v>Listen and Choose a Response</x:v>
      </x:c>
      <x:c r="G172" s="15" t="str">
        <x:v>/Users/josedavidduartesilva/Developer/idiomaswl/public/audio/toefl/set-20/listen-choose-4.mp3</x:v>
      </x:c>
      <x:c r="H172" s="19" t="n">
        <x:v>4.42</x:v>
      </x:c>
      <x:c r="I172" s="15" t="str">
        <x:v>P1</x:v>
      </x:c>
      <x:c r="J172" s="15" t="str">
        <x:v>100_percent_required_T08</x:v>
      </x:c>
      <x:c r="K172" s="15" t="str">
        <x:v>pass_with_actionable_warning</x:v>
      </x:c>
      <x:c r="L172" s="15" t="str">
        <x:v>none</x:v>
      </x:c>
      <x:c r="M172" s="15" t="str">
        <x:v>TECH-LDN-003</x:v>
      </x:c>
      <x:c r="N172" s="15" t="str">
        <x:v>review_warning_in_T08_before_conserve</x:v>
      </x:c>
      <x:c r="O172" s="15" t="str">
        <x:v>asr_candidate_recovered_pending_human</x:v>
      </x:c>
      <x:c r="P172" s="15" t="str">
        <x:v>LING-SOURCE-001;LING-STRESS-001</x:v>
      </x:c>
      <x:c r="Q172" s="15" t="str"/>
      <x:c r="R172" s="15" t="str">
        <x:v>It's supposed to rain later. Could you bring me an umbrella when you come?</x:v>
      </x:c>
      <x:c r="S172" s="15" t="str">
        <x:v>no_source_candidate</x:v>
      </x:c>
      <x:c r="T172" s="15" t="str">
        <x:v>manual_exchange_review_pass_pending_T08</x:v>
      </x:c>
      <x:c r="U172" s="15" t="str">
        <x:v>B_transcript_adjudication_candidate</x:v>
      </x:c>
      <x:c r="V172" s="16" t="str">
        <x:v>not_started</x:v>
      </x:c>
      <x:c r="W172" s="16"/>
      <x:c r="X172" s="16"/>
      <x:c r="Y172" s="16"/>
      <x:c r="Z172" s="16"/>
      <x:c r="AA172" s="16"/>
      <x:c r="AB172" s="16"/>
      <x:c r="AC172" s="16"/>
      <x:c r="AD172" s="16"/>
      <x:c r="AE172" s="16"/>
      <x:c r="AF172" s="16"/>
      <x:c r="AG172" s="16"/>
      <x:c r="AH172" s="16"/>
      <x:c r="AI172" s="16"/>
      <x:c r="AJ172" s="16"/>
      <x:c r="AK172" s="16"/>
      <x:c r="AL172" s="16"/>
      <x:c r="AM172" s="16"/>
      <x:c r="AN172" s="16"/>
      <x:c r="AO172" s="16"/>
      <x:c r="AP172" s="16"/>
      <x:c r="AQ172" s="16"/>
      <x:c r="AR172" s="16"/>
      <x:c r="AS172" s="16"/>
      <x:c r="AT172" s="20"/>
      <x:c r="AU172" s="16"/>
      <x:c r="AV172" s="16"/>
      <x:c r="AW172" s="16" t="str">
        <x:v>pending</x:v>
      </x:c>
      <x:c r="AX172" s="17" t="str">
        <x:v>blocked_not_validated</x:v>
      </x:c>
      <x:c r="AY172" s="18" t="str">
        <x:f>IF(OR(C172="yes",X172="corrected",COUNTIF(Z172:AL172,"major")&gt;0,COUNTIF(Z172:AL172,"blocker")&gt;0,OR(AO172="repair",AO172="segment",AO172="replace",AO172="block")),"yes","no")</x:f>
        <x:v>no</x:v>
      </x:c>
      <x:c r="AZ172" s="18" t="str">
        <x:f>IF(AND(V172="reviewed",W172&gt;=1,X172&lt;&gt;"",Y172&lt;&gt;"",COUNTA(Z172:AL172)=13,AM172&lt;&gt;"",AN172&lt;&gt;"",AO172&lt;&gt;"",AP172&lt;&gt;"",AQ172&lt;&gt;"",AR172&lt;&gt;"",AS172="I_listened_at_1x_and_completed_all_required_fields",AT172&lt;&gt;"",AW172="adjudicated",OR(AY172="no",AND(AU172&lt;&gt;"",AV172&lt;&gt;""))),"complete","incomplete")</x:f>
        <x:v>incomplete</x:v>
      </x:c>
      <x:c r="BA172" s="18" t="str">
        <x:f>IF(AZ172="complete","none","faltan campos humanos, adjudicación o segunda revisión")</x:f>
        <x:v>faltan campos humanos, adjudicación o segunda revisión</x:v>
      </x:c>
    </x:row>
    <x:row r="173" ht="36" customHeight="1">
      <x:c r="A173" s="15" t="n">
        <x:v>172</x:v>
      </x:c>
      <x:c r="B173" s="15" t="str">
        <x:v>P1-CHOOSE</x:v>
      </x:c>
      <x:c r="C173" s="15" t="str">
        <x:v>no</x:v>
      </x:c>
      <x:c r="D173" s="15" t="str">
        <x:v>asset:toefl:set-20:part-5:listen-choose-5</x:v>
      </x:c>
      <x:c r="E173" s="15" t="str">
        <x:v>set-20</x:v>
      </x:c>
      <x:c r="F173" s="15" t="str">
        <x:v>Listen and Choose a Response</x:v>
      </x:c>
      <x:c r="G173" s="15" t="str">
        <x:v>/Users/josedavidduartesilva/Developer/idiomaswl/public/audio/toefl/set-20/listen-choose-5.mp3</x:v>
      </x:c>
      <x:c r="H173" s="19" t="n">
        <x:v>3.46</x:v>
      </x:c>
      <x:c r="I173" s="15" t="str">
        <x:v>P1</x:v>
      </x:c>
      <x:c r="J173" s="15" t="str">
        <x:v>100_percent_required_T08</x:v>
      </x:c>
      <x:c r="K173" s="15" t="str">
        <x:v>pass_automated_T06</x:v>
      </x:c>
      <x:c r="L173" s="15" t="str">
        <x:v>none</x:v>
      </x:c>
      <x:c r="M173" s="15" t="str">
        <x:v>none</x:v>
      </x:c>
      <x:c r="N173" s="15" t="str">
        <x:v>conserve_source_technical_candidate</x:v>
      </x:c>
      <x:c r="O173" s="15" t="str">
        <x:v>asr_candidate_recovered_pending_human</x:v>
      </x:c>
      <x:c r="P173" s="15" t="str">
        <x:v>LING-SOURCE-001;LING-STRESS-001</x:v>
      </x:c>
      <x:c r="Q173" s="15" t="str"/>
      <x:c r="R173" s="15" t="str">
        <x:v>You look so happy today, did you get some good news?</x:v>
      </x:c>
      <x:c r="S173" s="15" t="str">
        <x:v>no_source_candidate</x:v>
      </x:c>
      <x:c r="T173" s="15" t="str">
        <x:v>manual_exchange_review_pass_pending_T08</x:v>
      </x:c>
      <x:c r="U173" s="15" t="str">
        <x:v>B_transcript_adjudication_candidate</x:v>
      </x:c>
      <x:c r="V173" s="16" t="str">
        <x:v>not_started</x:v>
      </x:c>
      <x:c r="W173" s="16"/>
      <x:c r="X173" s="16"/>
      <x:c r="Y173" s="16"/>
      <x:c r="Z173" s="16"/>
      <x:c r="AA173" s="16"/>
      <x:c r="AB173" s="16"/>
      <x:c r="AC173" s="16"/>
      <x:c r="AD173" s="16"/>
      <x:c r="AE173" s="16"/>
      <x:c r="AF173" s="16"/>
      <x:c r="AG173" s="16"/>
      <x:c r="AH173" s="16"/>
      <x:c r="AI173" s="16"/>
      <x:c r="AJ173" s="16"/>
      <x:c r="AK173" s="16"/>
      <x:c r="AL173" s="16"/>
      <x:c r="AM173" s="16"/>
      <x:c r="AN173" s="16"/>
      <x:c r="AO173" s="16"/>
      <x:c r="AP173" s="16"/>
      <x:c r="AQ173" s="16"/>
      <x:c r="AR173" s="16"/>
      <x:c r="AS173" s="16"/>
      <x:c r="AT173" s="20"/>
      <x:c r="AU173" s="16"/>
      <x:c r="AV173" s="16"/>
      <x:c r="AW173" s="16" t="str">
        <x:v>pending</x:v>
      </x:c>
      <x:c r="AX173" s="17" t="str">
        <x:v>blocked_not_validated</x:v>
      </x:c>
      <x:c r="AY173" s="18" t="str">
        <x:f>IF(OR(C173="yes",X173="corrected",COUNTIF(Z173:AL173,"major")&gt;0,COUNTIF(Z173:AL173,"blocker")&gt;0,OR(AO173="repair",AO173="segment",AO173="replace",AO173="block")),"yes","no")</x:f>
        <x:v>no</x:v>
      </x:c>
      <x:c r="AZ173" s="18" t="str">
        <x:f>IF(AND(V173="reviewed",W173&gt;=1,X173&lt;&gt;"",Y173&lt;&gt;"",COUNTA(Z173:AL173)=13,AM173&lt;&gt;"",AN173&lt;&gt;"",AO173&lt;&gt;"",AP173&lt;&gt;"",AQ173&lt;&gt;"",AR173&lt;&gt;"",AS173="I_listened_at_1x_and_completed_all_required_fields",AT173&lt;&gt;"",AW173="adjudicated",OR(AY173="no",AND(AU173&lt;&gt;"",AV173&lt;&gt;""))),"complete","incomplete")</x:f>
        <x:v>incomplete</x:v>
      </x:c>
      <x:c r="BA173" s="18" t="str">
        <x:f>IF(AZ173="complete","none","faltan campos humanos, adjudicación o segunda revisión")</x:f>
        <x:v>faltan campos humanos, adjudicación o segunda revisión</x:v>
      </x:c>
    </x:row>
    <x:row r="174" ht="36" customHeight="1">
      <x:c r="A174" s="15" t="n">
        <x:v>173</x:v>
      </x:c>
      <x:c r="B174" s="15" t="str">
        <x:v>P1-LONG</x:v>
      </x:c>
      <x:c r="C174" s="15" t="str">
        <x:v>no</x:v>
      </x:c>
      <x:c r="D174" s="15" t="str">
        <x:v>asset:toefl:set-20:part-6:conversation</x:v>
      </x:c>
      <x:c r="E174" s="15" t="str">
        <x:v>set-20</x:v>
      </x:c>
      <x:c r="F174" s="15" t="str">
        <x:v>Listen to a Conversation</x:v>
      </x:c>
      <x:c r="G174" s="15" t="str">
        <x:v>/Users/josedavidduartesilva/Developer/idiomaswl/public/audio/toefl/set-20/conversation.mp3</x:v>
      </x:c>
      <x:c r="H174" s="19" t="n">
        <x:v>96.96</x:v>
      </x:c>
      <x:c r="I174" s="15" t="str">
        <x:v>P1</x:v>
      </x:c>
      <x:c r="J174" s="15" t="str">
        <x:v>100_percent_required_T08_T15</x:v>
      </x:c>
      <x:c r="K174" s="15" t="str">
        <x:v>pass_with_actionable_warning</x:v>
      </x:c>
      <x:c r="L174" s="15" t="str">
        <x:v>none</x:v>
      </x:c>
      <x:c r="M174" s="15" t="str">
        <x:v>TECH-PEAK-003</x:v>
      </x:c>
      <x:c r="N174" s="15" t="str">
        <x:v>review_warning_in_T08_before_conserve</x:v>
      </x:c>
      <x:c r="O174" s="15" t="str">
        <x:v>source_exact_normalized_supported_pending_human</x:v>
      </x:c>
      <x:c r="P174" s="15" t="str">
        <x:v>LING-LEN-001</x:v>
      </x:c>
      <x:c r="Q174" s="15" t="str">
        <x:v>STUDENT: Hi, I'm writing a research paper and I'm struggling to tell which sources are reliable. There's so much information online and I don't know what to trust.
LIBRARIAN: That's a really important skill, and I'm glad you asked. Let me give you a few questions to ask about any source. First: who is the author, and what are their qualifications? An article by a professor or a recognized expert carries more weight than an anonymous blog post.
STUDENT: That makes sense. What else?
LIBRARIAN: Second, look at where it's published. Is it a peer-reviewed journal, a reputable news organization, or just a random website? Peer-reviewed means other experts have checked it before publication. Third, check the date — for many topics, especially in science and technology, you want recent sources.
STUDENT: What about websites that look professional but I've never heard of?
LIBRARIAN: Good question. A professional-looking design doesn't guarantee reliability — anyone can make a slick website. Look instead at whether claims are backed by evidence and whether the site cites its sources. And be cautious of anything that seems designed to make you angry or that only presents one side. Strong emotion is often a sign that a source is trying to persuade rather than inform.
STUDENT: That's really useful. So it's less about how something looks and more about the evidence behind it.
LIBRARIAN: Exactly. And remember, you can always cross-check — if several reliable sources agree, you can be more confident. If a claim appears in only one place, be skeptical.</x:v>
      </x:c>
      <x:c r="R174" s="15" t="str">
        <x:v>Hi, I'm writing a research paper, and I'm struggling to tell which sources are reliable. There's so much information online, and I don't know what to trust. That's a really important skill, and I'm glad you asked. Let me give you a few questions to ask about any source. First, who is the author, and what are their qualifications? An article by a professor or a recognized expert carries more weight than an anonymous blog post. That makes sense. What else? Second, look at where it's published. Is it a peer-reviewed journal, a reputable news organization, or just a random website? Peer-reviewed means other experts have checked it before publication. Third, check the date. For many topics, especially in science and technology, you want recent sources. What about websites that look professional but I've never heard of? Good question. A professional looking design doesn't guarantee reliability. Anyone can make a slick website. Look instead at whether claims are backed by evidence and whether the site cites its sources. And be cautious of anything that seems designed to make you angry or that only presents one side. Strong emotion is often a sign that a source is trying to persuade rather than inform. That's really useful. So it's less about how something looks and more about the evidence behind it. Exactly. And remember, you can always cross-check. If several reliable sources agree, you can be more confident. If a claim appears in only one place, be skeptical.</x:v>
      </x:c>
      <x:c r="S174" s="15" t="str">
        <x:v>none</x:v>
      </x:c>
      <x:c r="T174" s="15" t="str">
        <x:v>source_contract_preserved_subject_to_T08</x:v>
      </x:c>
      <x:c r="U174" s="15" t="str">
        <x:v>C_linguistic_segment_or_reframe_candidate</x:v>
      </x:c>
      <x:c r="V174" s="16" t="str">
        <x:v>not_started</x:v>
      </x:c>
      <x:c r="W174" s="16"/>
      <x:c r="X174" s="16"/>
      <x:c r="Y174" s="16"/>
      <x:c r="Z174" s="16"/>
      <x:c r="AA174" s="16"/>
      <x:c r="AB174" s="16"/>
      <x:c r="AC174" s="16"/>
      <x:c r="AD174" s="16"/>
      <x:c r="AE174" s="16"/>
      <x:c r="AF174" s="16"/>
      <x:c r="AG174" s="16"/>
      <x:c r="AH174" s="16"/>
      <x:c r="AI174" s="16"/>
      <x:c r="AJ174" s="16"/>
      <x:c r="AK174" s="16"/>
      <x:c r="AL174" s="16"/>
      <x:c r="AM174" s="16"/>
      <x:c r="AN174" s="16"/>
      <x:c r="AO174" s="16"/>
      <x:c r="AP174" s="16"/>
      <x:c r="AQ174" s="16"/>
      <x:c r="AR174" s="16"/>
      <x:c r="AS174" s="16"/>
      <x:c r="AT174" s="20"/>
      <x:c r="AU174" s="16"/>
      <x:c r="AV174" s="16"/>
      <x:c r="AW174" s="16" t="str">
        <x:v>pending</x:v>
      </x:c>
      <x:c r="AX174" s="17" t="str">
        <x:v>blocked_not_validated</x:v>
      </x:c>
      <x:c r="AY174" s="18" t="str">
        <x:f>IF(OR(C174="yes",X174="corrected",COUNTIF(Z174:AL174,"major")&gt;0,COUNTIF(Z174:AL174,"blocker")&gt;0,OR(AO174="repair",AO174="segment",AO174="replace",AO174="block")),"yes","no")</x:f>
        <x:v>no</x:v>
      </x:c>
      <x:c r="AZ174" s="18" t="str">
        <x:f>IF(AND(V174="reviewed",W174&gt;=1,X174&lt;&gt;"",Y174&lt;&gt;"",COUNTA(Z174:AL174)=13,AM174&lt;&gt;"",AN174&lt;&gt;"",AO174&lt;&gt;"",AP174&lt;&gt;"",AQ174&lt;&gt;"",AR174&lt;&gt;"",AS174="I_listened_at_1x_and_completed_all_required_fields",AT174&lt;&gt;"",AW174="adjudicated",OR(AY174="no",AND(AU174&lt;&gt;"",AV174&lt;&gt;""))),"complete","incomplete")</x:f>
        <x:v>incomplete</x:v>
      </x:c>
      <x:c r="BA174" s="18" t="str">
        <x:f>IF(AZ174="complete","none","faltan campos humanos, adjudicación o segunda revisión")</x:f>
        <x:v>faltan campos humanos, adjudicación o segunda revisión</x:v>
      </x:c>
    </x:row>
    <x:row r="175" ht="36" customHeight="1">
      <x:c r="A175" s="15" t="n">
        <x:v>174</x:v>
      </x:c>
      <x:c r="B175" s="15" t="str">
        <x:v>P1-LONG</x:v>
      </x:c>
      <x:c r="C175" s="15" t="str">
        <x:v>no</x:v>
      </x:c>
      <x:c r="D175" s="15" t="str">
        <x:v>asset:toefl:set-20:part-7:announcement</x:v>
      </x:c>
      <x:c r="E175" s="15" t="str">
        <x:v>set-20</x:v>
      </x:c>
      <x:c r="F175" s="15" t="str">
        <x:v>Listen to an Announcement</x:v>
      </x:c>
      <x:c r="G175" s="15" t="str">
        <x:v>/Users/josedavidduartesilva/Developer/idiomaswl/public/audio/toefl/set-20/announcement.mp3</x:v>
      </x:c>
      <x:c r="H175" s="19" t="n">
        <x:v>55.22</x:v>
      </x:c>
      <x:c r="I175" s="15" t="str">
        <x:v>P1</x:v>
      </x:c>
      <x:c r="J175" s="15" t="str">
        <x:v>100_percent_required_T08_T15</x:v>
      </x:c>
      <x:c r="K175" s="15" t="str">
        <x:v>pass_with_actionable_warning</x:v>
      </x:c>
      <x:c r="L175" s="15" t="str">
        <x:v>none</x:v>
      </x:c>
      <x:c r="M175" s="15" t="str">
        <x:v>TECH-PEAK-003</x:v>
      </x:c>
      <x:c r="N175" s="15" t="str">
        <x:v>review_warning_in_T08_before_conserve</x:v>
      </x:c>
      <x:c r="O175" s="15" t="str">
        <x:v>source_minor_diff_supported_pending_human</x:v>
      </x:c>
      <x:c r="P175" s="15" t="str">
        <x:v>LING-DIFF-001;LING-LEN-001</x:v>
      </x:c>
      <x:c r="Q175" s="15" t="str">
        <x:v>Good morning, students. This is an announcement about the upcoming university open day, when we welcome prospective students and their families to campus. It will be held on Saturday the eighteenth, and we're looking for current students to volunteer as guides and helpers.
As a volunteer, you'd help with tasks such as giving campus tours, answering questions about student life, and assisting at information desks. It's a great way to give back, meet new people, and it looks excellent on your résumé. No special training is required — we'll hold a short briefing the day before. In return, volunteers receive a free lunch, a university T-shirt, and a certificate of participation. Shifts are flexible, from two to six hours, so you can help as much or as little as your schedule allows. If you're interested, sign up at the student union office by Wednesday, or email the volunteer coordinator. Thank you, and we hope many of you will take part.</x:v>
      </x:c>
      <x:c r="R175" s="15" t="str">
        <x:v>Good morning students, this is an announcement about the upcoming University Open Day when we welcome prospective students and their families to campus. It will be held on Saturday the 18th, and we're looking for current students to volunteer as guides and helpers. As a volunteer, you'd help with tasks such as giving campus tours, answering questions about student life, and assisting at information desks. It's a great way to give back, meet new people, and it looks excellent on your resume. No special training is required. hold a short briefing the day before. In return, volunteers receive a free lunch, a university t-shirt, and a certificate of participation. Shifts are flexible, from two to six hours, so you can help as much or as little as your schedule allows. If you're interested, sign up at the Student Union office by Wednesday, or email the volunteer coordinator. Thank you, and we hope many of you will take part.</x:v>
      </x:c>
      <x:c r="S175" s="15" t="str">
        <x:v>D:we | D:will</x:v>
      </x:c>
      <x:c r="T175" s="15" t="str">
        <x:v>source_contract_preserved_subject_to_T08</x:v>
      </x:c>
      <x:c r="U175" s="15" t="str">
        <x:v>C_linguistic_segment_or_reframe_candidate</x:v>
      </x:c>
      <x:c r="V175" s="16" t="str">
        <x:v>not_started</x:v>
      </x:c>
      <x:c r="W175" s="16"/>
      <x:c r="X175" s="16"/>
      <x:c r="Y175" s="16"/>
      <x:c r="Z175" s="16"/>
      <x:c r="AA175" s="16"/>
      <x:c r="AB175" s="16"/>
      <x:c r="AC175" s="16"/>
      <x:c r="AD175" s="16"/>
      <x:c r="AE175" s="16"/>
      <x:c r="AF175" s="16"/>
      <x:c r="AG175" s="16"/>
      <x:c r="AH175" s="16"/>
      <x:c r="AI175" s="16"/>
      <x:c r="AJ175" s="16"/>
      <x:c r="AK175" s="16"/>
      <x:c r="AL175" s="16"/>
      <x:c r="AM175" s="16"/>
      <x:c r="AN175" s="16"/>
      <x:c r="AO175" s="16"/>
      <x:c r="AP175" s="16"/>
      <x:c r="AQ175" s="16"/>
      <x:c r="AR175" s="16"/>
      <x:c r="AS175" s="16"/>
      <x:c r="AT175" s="20"/>
      <x:c r="AU175" s="16"/>
      <x:c r="AV175" s="16"/>
      <x:c r="AW175" s="16" t="str">
        <x:v>pending</x:v>
      </x:c>
      <x:c r="AX175" s="17" t="str">
        <x:v>blocked_not_validated</x:v>
      </x:c>
      <x:c r="AY175" s="18" t="str">
        <x:f>IF(OR(C175="yes",X175="corrected",COUNTIF(Z175:AL175,"major")&gt;0,COUNTIF(Z175:AL175,"blocker")&gt;0,OR(AO175="repair",AO175="segment",AO175="replace",AO175="block")),"yes","no")</x:f>
        <x:v>no</x:v>
      </x:c>
      <x:c r="AZ175" s="18" t="str">
        <x:f>IF(AND(V175="reviewed",W175&gt;=1,X175&lt;&gt;"",Y175&lt;&gt;"",COUNTA(Z175:AL175)=13,AM175&lt;&gt;"",AN175&lt;&gt;"",AO175&lt;&gt;"",AP175&lt;&gt;"",AQ175&lt;&gt;"",AR175&lt;&gt;"",AS175="I_listened_at_1x_and_completed_all_required_fields",AT175&lt;&gt;"",AW175="adjudicated",OR(AY175="no",AND(AU175&lt;&gt;"",AV175&lt;&gt;""))),"complete","incomplete")</x:f>
        <x:v>incomplete</x:v>
      </x:c>
      <x:c r="BA175" s="18" t="str">
        <x:f>IF(AZ175="complete","none","faltan campos humanos, adjudicación o segunda revisión")</x:f>
        <x:v>faltan campos humanos, adjudicación o segunda revisión</x:v>
      </x:c>
    </x:row>
    <x:row r="176" ht="36" customHeight="1">
      <x:c r="A176" s="15" t="n">
        <x:v>175</x:v>
      </x:c>
      <x:c r="B176" s="15" t="str">
        <x:v>P1-LONG</x:v>
      </x:c>
      <x:c r="C176" s="15" t="str">
        <x:v>no</x:v>
      </x:c>
      <x:c r="D176" s="15" t="str">
        <x:v>asset:toefl:set-20:part-8:academic-talk</x:v>
      </x:c>
      <x:c r="E176" s="15" t="str">
        <x:v>set-20</x:v>
      </x:c>
      <x:c r="F176" s="15" t="str">
        <x:v>Listen to an Academic Talk</x:v>
      </x:c>
      <x:c r="G176" s="15" t="str">
        <x:v>/Users/josedavidduartesilva/Developer/idiomaswl/public/audio/toefl/set-20/academic-talk.mp3</x:v>
      </x:c>
      <x:c r="H176" s="19" t="n">
        <x:v>134.34</x:v>
      </x:c>
      <x:c r="I176" s="15" t="str">
        <x:v>P1</x:v>
      </x:c>
      <x:c r="J176" s="15" t="str">
        <x:v>100_percent_required_T08_T15</x:v>
      </x:c>
      <x:c r="K176" s="15" t="str">
        <x:v>fail_actionable</x:v>
      </x:c>
      <x:c r="L176" s="15" t="str">
        <x:v>TECH-SIL-002</x:v>
      </x:c>
      <x:c r="M176" s="15" t="str">
        <x:v>TECH-LDN-003;TECH-PEAK-003</x:v>
      </x:c>
      <x:c r="N176" s="15" t="str">
        <x:v>review_edges_create_versioned_trim_variant</x:v>
      </x:c>
      <x:c r="O176" s="15" t="str">
        <x:v>source_material_diff_pending_human</x:v>
      </x:c>
      <x:c r="P176" s="15" t="str">
        <x:v>LING-DIFF-001;LING-CRIT-001;TECH-T06-FAIL;LING-LEN-002</x:v>
      </x:c>
      <x:c r="Q176" s="15" t="str">
        <x:v>PROFESSOR: Today I want to discuss a psychological effect that influences your judgments constantly, usually without you noticing: it's called anchoring. Anchoring is the tendency to rely too heavily on the first piece of information we receive — the "anchor" — when making decisions or estimates. Once an anchor is set, everything afterward is judged relative to it.
Let me give you a classic experiment. Researchers asked two groups of people to estimate the percentage of African countries in the United Nations. But first, they spun a wheel that landed on a number — which was rigged. One group saw the wheel land on ten; the other saw it land on sixty-five. Then they made their estimates. Now, the number on the wheel was obviously random and had nothing to do with the question. Yet the group that saw ten guessed much lower, on average, than the group that saw sixty-five. The random anchor pulled their estimates toward it.
Anchoring shows up everywhere in real life, and businesses use it deliberately. Think about a store that lists a product at an original price of two hundred dollars, crossed out, now on sale for one hundred. That two hundred is an anchor. It makes one hundred feel like a great deal, even if the item was never really worth two hundred. Or consider salary negotiations: whoever names a number first often sets the anchor around which the entire negotiation revolves.
What's striking is how hard anchoring is to resist, even when you know about it. Simply being aware that an anchor is arbitrary doesn't fully protect you. But there are strategies. When you're about to make an estimate or a decision, it helps to deliberately consider the opposite — to ask, "What would make this number too high?" and "What would make it too low?" Generating your own independent estimate before you see someone else's figure can also reduce the effect. The broader lesson is one of intellectual humility: our judgments are far more shaped by irrelevant context than we like to believe.</x:v>
      </x:c>
      <x:c r="R176" s="15" t="str">
        <x:v>Today I want to discuss a psychological effect that influences your judgments constantly, usually without you noticing. It's called anchoring. Anchoring is the tendency to rely too heavily on the first piece of information we receive, the anchor when making decisions or estimates. Once an anchor is set, everything afterward is judged relative to it. Let me give you a classic experiment. asked two groups of people to estimate the percentage of African countries in the United Nations. But first, they spun a wheel that landed on a number, which was rigged. One group saw the wheel land on 10. The other saw it land on 65. Then they made their estimates. Now, the number on the wheel was obviously random and had nothing to do with the question. But the group that saw 10 guessed much lower, on average, than the group that saw 65. The random anchor pulled their estimates toward it. Anchoring shows up everywhere in real life, and businesses use it deliberately. Think about a store that lists a product at an original price of $200, crossed out, now on sale for $100. That $200 is an anchor. It makes $100 feel like a great deal. Even if the item was never really worth 200, or consider salary negotiations, whoever names a number first often sets the anchor around which the entire negotiation revolves. What's striking is how hard anchoring is to resist, even when you know about it. Simply being aware that an anchor is arbitrary doesn't fully protect you. But there are strategies. When you're about to make an estimate or a decision, it helps to deliberately consider the opposite. To ask, what would make this number too high? And what would make it too low? Generating your own independent estimate before you see someone else's figure can also reduce the effect. The broader lesson is one of intellectual humility. Our judgments are far more shaped by irrelevant context than we like to believe.</x:v>
      </x:c>
      <x:c r="S176" s="15" t="str">
        <x:v>D:researchers | S:yet→but | S:100→$100 | S:200→$200 | S:100→$100</x:v>
      </x:c>
      <x:c r="T176" s="15" t="str">
        <x:v>source_contract_preserved_subject_to_T08</x:v>
      </x:c>
      <x:c r="U176" s="15" t="str">
        <x:v>C_linguistic_segment_or_reframe_candidate</x:v>
      </x:c>
      <x:c r="V176" s="16" t="str">
        <x:v>not_started</x:v>
      </x:c>
      <x:c r="W176" s="16"/>
      <x:c r="X176" s="16"/>
      <x:c r="Y176" s="16"/>
      <x:c r="Z176" s="16"/>
      <x:c r="AA176" s="16"/>
      <x:c r="AB176" s="16"/>
      <x:c r="AC176" s="16"/>
      <x:c r="AD176" s="16"/>
      <x:c r="AE176" s="16"/>
      <x:c r="AF176" s="16"/>
      <x:c r="AG176" s="16"/>
      <x:c r="AH176" s="16"/>
      <x:c r="AI176" s="16"/>
      <x:c r="AJ176" s="16"/>
      <x:c r="AK176" s="16"/>
      <x:c r="AL176" s="16"/>
      <x:c r="AM176" s="16"/>
      <x:c r="AN176" s="16"/>
      <x:c r="AO176" s="16"/>
      <x:c r="AP176" s="16"/>
      <x:c r="AQ176" s="16"/>
      <x:c r="AR176" s="16"/>
      <x:c r="AS176" s="16"/>
      <x:c r="AT176" s="20"/>
      <x:c r="AU176" s="16"/>
      <x:c r="AV176" s="16"/>
      <x:c r="AW176" s="16" t="str">
        <x:v>pending</x:v>
      </x:c>
      <x:c r="AX176" s="17" t="str">
        <x:v>blocked_not_validated</x:v>
      </x:c>
      <x:c r="AY176" s="18" t="str">
        <x:f>IF(OR(C176="yes",X176="corrected",COUNTIF(Z176:AL176,"major")&gt;0,COUNTIF(Z176:AL176,"blocker")&gt;0,OR(AO176="repair",AO176="segment",AO176="replace",AO176="block")),"yes","no")</x:f>
        <x:v>no</x:v>
      </x:c>
      <x:c r="AZ176" s="18" t="str">
        <x:f>IF(AND(V176="reviewed",W176&gt;=1,X176&lt;&gt;"",Y176&lt;&gt;"",COUNTA(Z176:AL176)=13,AM176&lt;&gt;"",AN176&lt;&gt;"",AO176&lt;&gt;"",AP176&lt;&gt;"",AQ176&lt;&gt;"",AR176&lt;&gt;"",AS176="I_listened_at_1x_and_completed_all_required_fields",AT176&lt;&gt;"",AW176="adjudicated",OR(AY176="no",AND(AU176&lt;&gt;"",AV176&lt;&gt;""))),"complete","incomplete")</x:f>
        <x:v>incomplete</x:v>
      </x:c>
      <x:c r="BA176" s="18" t="str">
        <x:f>IF(AZ176="complete","none","faltan campos humanos, adjudicación o segunda revisión")</x:f>
        <x:v>faltan campos humanos, adjudicación o segunda revisión</x:v>
      </x:c>
    </x:row>
    <x:row r="177" ht="36" customHeight="1">
      <x:c r="A177" s="15" t="n">
        <x:v>176</x:v>
      </x:c>
      <x:c r="B177" s="15" t="str">
        <x:v>P1-REPEAT</x:v>
      </x:c>
      <x:c r="C177" s="15" t="str">
        <x:v>no</x:v>
      </x:c>
      <x:c r="D177" s="15" t="str">
        <x:v>asset:toefl:set-20:part-12:repeat-2</x:v>
      </x:c>
      <x:c r="E177" s="15" t="str">
        <x:v>set-20</x:v>
      </x:c>
      <x:c r="F177" s="15" t="str">
        <x:v>Listen and Repeat</x:v>
      </x:c>
      <x:c r="G177" s="15" t="str">
        <x:v>/Users/josedavidduartesilva/Developer/idiomaswl/public/audio/toefl/set-20/repeat-2.mp3</x:v>
      </x:c>
      <x:c r="H177" s="19" t="n">
        <x:v>2.98</x:v>
      </x:c>
      <x:c r="I177" s="15" t="str">
        <x:v>P1</x:v>
      </x:c>
      <x:c r="J177" s="15" t="str">
        <x:v>100_percent_required_T08</x:v>
      </x:c>
      <x:c r="K177" s="15" t="str">
        <x:v>pass_with_actionable_warning</x:v>
      </x:c>
      <x:c r="L177" s="15" t="str">
        <x:v>none</x:v>
      </x:c>
      <x:c r="M177" s="15" t="str">
        <x:v>TECH-PEAK-003</x:v>
      </x:c>
      <x:c r="N177" s="15" t="str">
        <x:v>review_warning_in_T08_before_conserve</x:v>
      </x:c>
      <x:c r="O177" s="15" t="str">
        <x:v>source_material_diff_pending_human</x:v>
      </x:c>
      <x:c r="P177" s="15" t="str">
        <x:v>LING-DIFF-001</x:v>
      </x:c>
      <x:c r="Q177" s="15" t="str">
        <x:v>She wrapped the present and hid it in the closet.</x:v>
      </x:c>
      <x:c r="R177" s="15" t="str">
        <x:v>She ramped the present and hid it in the closet.</x:v>
      </x:c>
      <x:c r="S177" s="15" t="str">
        <x:v>S:wrapped→ramped</x:v>
      </x:c>
      <x:c r="T177" s="15" t="str">
        <x:v>source_contract_preserved_subject_to_T08</x:v>
      </x:c>
      <x:c r="U177" s="15" t="str">
        <x:v>B_linguistic_adjudication_or_repair_candidate</x:v>
      </x:c>
      <x:c r="V177" s="16" t="str">
        <x:v>not_started</x:v>
      </x:c>
      <x:c r="W177" s="16"/>
      <x:c r="X177" s="16"/>
      <x:c r="Y177" s="16"/>
      <x:c r="Z177" s="16"/>
      <x:c r="AA177" s="16"/>
      <x:c r="AB177" s="16"/>
      <x:c r="AC177" s="16"/>
      <x:c r="AD177" s="16"/>
      <x:c r="AE177" s="16"/>
      <x:c r="AF177" s="16"/>
      <x:c r="AG177" s="16"/>
      <x:c r="AH177" s="16"/>
      <x:c r="AI177" s="16"/>
      <x:c r="AJ177" s="16"/>
      <x:c r="AK177" s="16"/>
      <x:c r="AL177" s="16"/>
      <x:c r="AM177" s="16"/>
      <x:c r="AN177" s="16"/>
      <x:c r="AO177" s="16"/>
      <x:c r="AP177" s="16"/>
      <x:c r="AQ177" s="16"/>
      <x:c r="AR177" s="16"/>
      <x:c r="AS177" s="16"/>
      <x:c r="AT177" s="20"/>
      <x:c r="AU177" s="16"/>
      <x:c r="AV177" s="16"/>
      <x:c r="AW177" s="16" t="str">
        <x:v>pending</x:v>
      </x:c>
      <x:c r="AX177" s="17" t="str">
        <x:v>blocked_not_validated</x:v>
      </x:c>
      <x:c r="AY177" s="18" t="str">
        <x:f>IF(OR(C177="yes",X177="corrected",COUNTIF(Z177:AL177,"major")&gt;0,COUNTIF(Z177:AL177,"blocker")&gt;0,OR(AO177="repair",AO177="segment",AO177="replace",AO177="block")),"yes","no")</x:f>
        <x:v>no</x:v>
      </x:c>
      <x:c r="AZ177" s="18" t="str">
        <x:f>IF(AND(V177="reviewed",W177&gt;=1,X177&lt;&gt;"",Y177&lt;&gt;"",COUNTA(Z177:AL177)=13,AM177&lt;&gt;"",AN177&lt;&gt;"",AO177&lt;&gt;"",AP177&lt;&gt;"",AQ177&lt;&gt;"",AR177&lt;&gt;"",AS177="I_listened_at_1x_and_completed_all_required_fields",AT177&lt;&gt;"",AW177="adjudicated",OR(AY177="no",AND(AU177&lt;&gt;"",AV177&lt;&gt;""))),"complete","incomplete")</x:f>
        <x:v>incomplete</x:v>
      </x:c>
      <x:c r="BA177" s="18" t="str">
        <x:f>IF(AZ177="complete","none","faltan campos humanos, adjudicación o segunda revisión")</x:f>
        <x:v>faltan campos humanos, adjudicación o segunda revisión</x:v>
      </x:c>
    </x:row>
    <x:row r="178" ht="36" customHeight="1">
      <x:c r="A178" s="15" t="n">
        <x:v>177</x:v>
      </x:c>
      <x:c r="B178" s="15" t="str">
        <x:v>P2-TECH</x:v>
      </x:c>
      <x:c r="C178" s="15" t="str">
        <x:v>no</x:v>
      </x:c>
      <x:c r="D178" s="15" t="str">
        <x:v>asset:toefl:set-2:part-12:repeat-1</x:v>
      </x:c>
      <x:c r="E178" s="15" t="str">
        <x:v>set-2</x:v>
      </x:c>
      <x:c r="F178" s="15" t="str">
        <x:v>Listen and Repeat</x:v>
      </x:c>
      <x:c r="G178" s="15" t="str">
        <x:v>/Users/josedavidduartesilva/Developer/idiomaswl/public/audio/toefl/set-2/repeat-1.mp3</x:v>
      </x:c>
      <x:c r="H178" s="19" t="n">
        <x:v>2.02</x:v>
      </x:c>
      <x:c r="I178" s="15" t="str">
        <x:v>P2</x:v>
      </x:c>
      <x:c r="J178" s="15" t="str">
        <x:v>100_percent_required_T08</x:v>
      </x:c>
      <x:c r="K178" s="15" t="str">
        <x:v>fail_actionable</x:v>
      </x:c>
      <x:c r="L178" s="15" t="str">
        <x:v>TECH-LDN-002</x:v>
      </x:c>
      <x:c r="M178" s="15" t="str">
        <x:v>none</x:v>
      </x:c>
      <x:c r="N178" s="15" t="str">
        <x:v>measure_gain_create_versioned_normalized_variant</x:v>
      </x:c>
      <x:c r="O178" s="15" t="str">
        <x:v>source_exact_normalized_supported_pending_human</x:v>
      </x:c>
      <x:c r="P178" s="15" t="str">
        <x:v>TECH-T06-FAIL</x:v>
      </x:c>
      <x:c r="Q178" s="15" t="str">
        <x:v>The room is very quiet.</x:v>
      </x:c>
      <x:c r="R178" s="15" t="str">
        <x:v>The room is very quiet.</x:v>
      </x:c>
      <x:c r="S178" s="15" t="str">
        <x:v>none</x:v>
      </x:c>
      <x:c r="T178" s="15" t="str">
        <x:v>source_contract_preserved_subject_to_T08</x:v>
      </x:c>
      <x:c r="U178" s="15" t="str">
        <x:v>A_linguistic_conserve_candidate</x:v>
      </x:c>
      <x:c r="V178" s="16" t="str">
        <x:v>not_started</x:v>
      </x:c>
      <x:c r="W178" s="16"/>
      <x:c r="X178" s="16"/>
      <x:c r="Y178" s="16"/>
      <x:c r="Z178" s="16"/>
      <x:c r="AA178" s="16"/>
      <x:c r="AB178" s="16"/>
      <x:c r="AC178" s="16"/>
      <x:c r="AD178" s="16"/>
      <x:c r="AE178" s="16"/>
      <x:c r="AF178" s="16"/>
      <x:c r="AG178" s="16"/>
      <x:c r="AH178" s="16"/>
      <x:c r="AI178" s="16"/>
      <x:c r="AJ178" s="16"/>
      <x:c r="AK178" s="16"/>
      <x:c r="AL178" s="16"/>
      <x:c r="AM178" s="16"/>
      <x:c r="AN178" s="16"/>
      <x:c r="AO178" s="16"/>
      <x:c r="AP178" s="16"/>
      <x:c r="AQ178" s="16"/>
      <x:c r="AR178" s="16"/>
      <x:c r="AS178" s="16"/>
      <x:c r="AT178" s="20"/>
      <x:c r="AU178" s="16"/>
      <x:c r="AV178" s="16"/>
      <x:c r="AW178" s="16" t="str">
        <x:v>pending</x:v>
      </x:c>
      <x:c r="AX178" s="17" t="str">
        <x:v>blocked_not_validated</x:v>
      </x:c>
      <x:c r="AY178" s="18" t="str">
        <x:f>IF(OR(C178="yes",X178="corrected",COUNTIF(Z178:AL178,"major")&gt;0,COUNTIF(Z178:AL178,"blocker")&gt;0,OR(AO178="repair",AO178="segment",AO178="replace",AO178="block")),"yes","no")</x:f>
        <x:v>no</x:v>
      </x:c>
      <x:c r="AZ178" s="18" t="str">
        <x:f>IF(AND(V178="reviewed",W178&gt;=1,X178&lt;&gt;"",Y178&lt;&gt;"",COUNTA(Z178:AL178)=13,AM178&lt;&gt;"",AN178&lt;&gt;"",AO178&lt;&gt;"",AP178&lt;&gt;"",AQ178&lt;&gt;"",AR178&lt;&gt;"",AS178="I_listened_at_1x_and_completed_all_required_fields",AT178&lt;&gt;"",AW178="adjudicated",OR(AY178="no",AND(AU178&lt;&gt;"",AV178&lt;&gt;""))),"complete","incomplete")</x:f>
        <x:v>incomplete</x:v>
      </x:c>
      <x:c r="BA178" s="18" t="str">
        <x:f>IF(AZ178="complete","none","faltan campos humanos, adjudicación o segunda revisión")</x:f>
        <x:v>faltan campos humanos, adjudicación o segunda revisión</x:v>
      </x:c>
    </x:row>
    <x:row r="179" ht="36" customHeight="1">
      <x:c r="A179" s="15" t="n">
        <x:v>178</x:v>
      </x:c>
      <x:c r="B179" s="15" t="str">
        <x:v>P2-TECH</x:v>
      </x:c>
      <x:c r="C179" s="15" t="str">
        <x:v>no</x:v>
      </x:c>
      <x:c r="D179" s="15" t="str">
        <x:v>asset:toefl:set-2:part-12:repeat-2</x:v>
      </x:c>
      <x:c r="E179" s="15" t="str">
        <x:v>set-2</x:v>
      </x:c>
      <x:c r="F179" s="15" t="str">
        <x:v>Listen and Repeat</x:v>
      </x:c>
      <x:c r="G179" s="15" t="str">
        <x:v>/Users/josedavidduartesilva/Developer/idiomaswl/public/audio/toefl/set-2/repeat-2.mp3</x:v>
      </x:c>
      <x:c r="H179" s="19" t="n">
        <x:v>2.901</x:v>
      </x:c>
      <x:c r="I179" s="15" t="str">
        <x:v>P2</x:v>
      </x:c>
      <x:c r="J179" s="15" t="str">
        <x:v>100_percent_required_T08</x:v>
      </x:c>
      <x:c r="K179" s="15" t="str">
        <x:v>fail_actionable</x:v>
      </x:c>
      <x:c r="L179" s="15" t="str">
        <x:v>TECH-LDN-002</x:v>
      </x:c>
      <x:c r="M179" s="15" t="str">
        <x:v>none</x:v>
      </x:c>
      <x:c r="N179" s="15" t="str">
        <x:v>measure_gain_create_versioned_normalized_variant</x:v>
      </x:c>
      <x:c r="O179" s="15" t="str">
        <x:v>source_exact_normalized_supported_pending_human</x:v>
      </x:c>
      <x:c r="P179" s="15" t="str">
        <x:v>TECH-T06-FAIL</x:v>
      </x:c>
      <x:c r="Q179" s="15" t="str">
        <x:v>They planted flowers along the garden path.</x:v>
      </x:c>
      <x:c r="R179" s="15" t="str">
        <x:v>They planted flowers along the garden path.</x:v>
      </x:c>
      <x:c r="S179" s="15" t="str">
        <x:v>none</x:v>
      </x:c>
      <x:c r="T179" s="15" t="str">
        <x:v>source_contract_preserved_subject_to_T08</x:v>
      </x:c>
      <x:c r="U179" s="15" t="str">
        <x:v>A_linguistic_conserve_candidate</x:v>
      </x:c>
      <x:c r="V179" s="16" t="str">
        <x:v>not_started</x:v>
      </x:c>
      <x:c r="W179" s="16"/>
      <x:c r="X179" s="16"/>
      <x:c r="Y179" s="16"/>
      <x:c r="Z179" s="16"/>
      <x:c r="AA179" s="16"/>
      <x:c r="AB179" s="16"/>
      <x:c r="AC179" s="16"/>
      <x:c r="AD179" s="16"/>
      <x:c r="AE179" s="16"/>
      <x:c r="AF179" s="16"/>
      <x:c r="AG179" s="16"/>
      <x:c r="AH179" s="16"/>
      <x:c r="AI179" s="16"/>
      <x:c r="AJ179" s="16"/>
      <x:c r="AK179" s="16"/>
      <x:c r="AL179" s="16"/>
      <x:c r="AM179" s="16"/>
      <x:c r="AN179" s="16"/>
      <x:c r="AO179" s="16"/>
      <x:c r="AP179" s="16"/>
      <x:c r="AQ179" s="16"/>
      <x:c r="AR179" s="16"/>
      <x:c r="AS179" s="16"/>
      <x:c r="AT179" s="20"/>
      <x:c r="AU179" s="16"/>
      <x:c r="AV179" s="16"/>
      <x:c r="AW179" s="16" t="str">
        <x:v>pending</x:v>
      </x:c>
      <x:c r="AX179" s="17" t="str">
        <x:v>blocked_not_validated</x:v>
      </x:c>
      <x:c r="AY179" s="18" t="str">
        <x:f>IF(OR(C179="yes",X179="corrected",COUNTIF(Z179:AL179,"major")&gt;0,COUNTIF(Z179:AL179,"blocker")&gt;0,OR(AO179="repair",AO179="segment",AO179="replace",AO179="block")),"yes","no")</x:f>
        <x:v>no</x:v>
      </x:c>
      <x:c r="AZ179" s="18" t="str">
        <x:f>IF(AND(V179="reviewed",W179&gt;=1,X179&lt;&gt;"",Y179&lt;&gt;"",COUNTA(Z179:AL179)=13,AM179&lt;&gt;"",AN179&lt;&gt;"",AO179&lt;&gt;"",AP179&lt;&gt;"",AQ179&lt;&gt;"",AR179&lt;&gt;"",AS179="I_listened_at_1x_and_completed_all_required_fields",AT179&lt;&gt;"",AW179="adjudicated",OR(AY179="no",AND(AU179&lt;&gt;"",AV179&lt;&gt;""))),"complete","incomplete")</x:f>
        <x:v>incomplete</x:v>
      </x:c>
      <x:c r="BA179" s="18" t="str">
        <x:f>IF(AZ179="complete","none","faltan campos humanos, adjudicación o segunda revisión")</x:f>
        <x:v>faltan campos humanos, adjudicación o segunda revisión</x:v>
      </x:c>
    </x:row>
    <x:row r="180" ht="36" customHeight="1">
      <x:c r="A180" s="15" t="n">
        <x:v>179</x:v>
      </x:c>
      <x:c r="B180" s="15" t="str">
        <x:v>P2-TECH</x:v>
      </x:c>
      <x:c r="C180" s="15" t="str">
        <x:v>no</x:v>
      </x:c>
      <x:c r="D180" s="15" t="str">
        <x:v>asset:toefl:set-4:part-12:repeat-2</x:v>
      </x:c>
      <x:c r="E180" s="15" t="str">
        <x:v>set-4</x:v>
      </x:c>
      <x:c r="F180" s="15" t="str">
        <x:v>Listen and Repeat</x:v>
      </x:c>
      <x:c r="G180" s="15" t="str">
        <x:v>/Users/josedavidduartesilva/Developer/idiomaswl/public/audio/toefl/set-4/repeat-2.mp3</x:v>
      </x:c>
      <x:c r="H180" s="19" t="n">
        <x:v>2.82</x:v>
      </x:c>
      <x:c r="I180" s="15" t="str">
        <x:v>P2</x:v>
      </x:c>
      <x:c r="J180" s="15" t="str">
        <x:v>100_percent_required_T08</x:v>
      </x:c>
      <x:c r="K180" s="15" t="str">
        <x:v>fail_actionable</x:v>
      </x:c>
      <x:c r="L180" s="15" t="str">
        <x:v>TECH-LDN-002</x:v>
      </x:c>
      <x:c r="M180" s="15" t="str">
        <x:v>TECH-PEAK-003</x:v>
      </x:c>
      <x:c r="N180" s="15" t="str">
        <x:v>measure_gain_create_versioned_normalized_variant</x:v>
      </x:c>
      <x:c r="O180" s="15" t="str">
        <x:v>source_exact_normalized_supported_pending_human</x:v>
      </x:c>
      <x:c r="P180" s="15" t="str">
        <x:v>TECH-T06-FAIL</x:v>
      </x:c>
      <x:c r="Q180" s="15" t="str">
        <x:v>He washed the car and cleaned the windows.</x:v>
      </x:c>
      <x:c r="R180" s="15" t="str">
        <x:v>He washed the car and cleaned the windows.</x:v>
      </x:c>
      <x:c r="S180" s="15" t="str">
        <x:v>none</x:v>
      </x:c>
      <x:c r="T180" s="15" t="str">
        <x:v>source_contract_preserved_subject_to_T08</x:v>
      </x:c>
      <x:c r="U180" s="15" t="str">
        <x:v>A_linguistic_conserve_candidate</x:v>
      </x:c>
      <x:c r="V180" s="16" t="str">
        <x:v>not_started</x:v>
      </x:c>
      <x:c r="W180" s="16"/>
      <x:c r="X180" s="16"/>
      <x:c r="Y180" s="16"/>
      <x:c r="Z180" s="16"/>
      <x:c r="AA180" s="16"/>
      <x:c r="AB180" s="16"/>
      <x:c r="AC180" s="16"/>
      <x:c r="AD180" s="16"/>
      <x:c r="AE180" s="16"/>
      <x:c r="AF180" s="16"/>
      <x:c r="AG180" s="16"/>
      <x:c r="AH180" s="16"/>
      <x:c r="AI180" s="16"/>
      <x:c r="AJ180" s="16"/>
      <x:c r="AK180" s="16"/>
      <x:c r="AL180" s="16"/>
      <x:c r="AM180" s="16"/>
      <x:c r="AN180" s="16"/>
      <x:c r="AO180" s="16"/>
      <x:c r="AP180" s="16"/>
      <x:c r="AQ180" s="16"/>
      <x:c r="AR180" s="16"/>
      <x:c r="AS180" s="16"/>
      <x:c r="AT180" s="20"/>
      <x:c r="AU180" s="16"/>
      <x:c r="AV180" s="16"/>
      <x:c r="AW180" s="16" t="str">
        <x:v>pending</x:v>
      </x:c>
      <x:c r="AX180" s="17" t="str">
        <x:v>blocked_not_validated</x:v>
      </x:c>
      <x:c r="AY180" s="18" t="str">
        <x:f>IF(OR(C180="yes",X180="corrected",COUNTIF(Z180:AL180,"major")&gt;0,COUNTIF(Z180:AL180,"blocker")&gt;0,OR(AO180="repair",AO180="segment",AO180="replace",AO180="block")),"yes","no")</x:f>
        <x:v>no</x:v>
      </x:c>
      <x:c r="AZ180" s="18" t="str">
        <x:f>IF(AND(V180="reviewed",W180&gt;=1,X180&lt;&gt;"",Y180&lt;&gt;"",COUNTA(Z180:AL180)=13,AM180&lt;&gt;"",AN180&lt;&gt;"",AO180&lt;&gt;"",AP180&lt;&gt;"",AQ180&lt;&gt;"",AR180&lt;&gt;"",AS180="I_listened_at_1x_and_completed_all_required_fields",AT180&lt;&gt;"",AW180="adjudicated",OR(AY180="no",AND(AU180&lt;&gt;"",AV180&lt;&gt;""))),"complete","incomplete")</x:f>
        <x:v>incomplete</x:v>
      </x:c>
      <x:c r="BA180" s="18" t="str">
        <x:f>IF(AZ180="complete","none","faltan campos humanos, adjudicación o segunda revisión")</x:f>
        <x:v>faltan campos humanos, adjudicación o segunda revisión</x:v>
      </x:c>
    </x:row>
    <x:row r="181" ht="36" customHeight="1">
      <x:c r="A181" s="15" t="n">
        <x:v>180</x:v>
      </x:c>
      <x:c r="B181" s="15" t="str">
        <x:v>P2-TECH</x:v>
      </x:c>
      <x:c r="C181" s="15" t="str">
        <x:v>no</x:v>
      </x:c>
      <x:c r="D181" s="15" t="str">
        <x:v>asset:toefl:set-4:part-12:repeat-3</x:v>
      </x:c>
      <x:c r="E181" s="15" t="str">
        <x:v>set-4</x:v>
      </x:c>
      <x:c r="F181" s="15" t="str">
        <x:v>Listen and Repeat</x:v>
      </x:c>
      <x:c r="G181" s="15" t="str">
        <x:v>/Users/josedavidduartesilva/Developer/idiomaswl/public/audio/toefl/set-4/repeat-3.mp3</x:v>
      </x:c>
      <x:c r="H181" s="19" t="n">
        <x:v>4.42</x:v>
      </x:c>
      <x:c r="I181" s="15" t="str">
        <x:v>P2</x:v>
      </x:c>
      <x:c r="J181" s="15" t="str">
        <x:v>100_percent_required_T08</x:v>
      </x:c>
      <x:c r="K181" s="15" t="str">
        <x:v>fail_actionable</x:v>
      </x:c>
      <x:c r="L181" s="15" t="str">
        <x:v>TECH-SIL-002</x:v>
      </x:c>
      <x:c r="M181" s="15" t="str">
        <x:v>TECH-PEAK-003</x:v>
      </x:c>
      <x:c r="N181" s="15" t="str">
        <x:v>review_edges_create_versioned_trim_variant</x:v>
      </x:c>
      <x:c r="O181" s="15" t="str">
        <x:v>source_exact_normalized_supported_pending_human</x:v>
      </x:c>
      <x:c r="P181" s="15" t="str">
        <x:v>TECH-T06-FAIL</x:v>
      </x:c>
      <x:c r="Q181" s="15" t="str">
        <x:v>The nurse reminded the patient to take the medicine twice a day.</x:v>
      </x:c>
      <x:c r="R181" s="15" t="str">
        <x:v>The nurse reminded the patient to take the medicine twice a day.</x:v>
      </x:c>
      <x:c r="S181" s="15" t="str">
        <x:v>none</x:v>
      </x:c>
      <x:c r="T181" s="15" t="str">
        <x:v>source_contract_preserved_subject_to_T08</x:v>
      </x:c>
      <x:c r="U181" s="15" t="str">
        <x:v>A_linguistic_conserve_candidate</x:v>
      </x:c>
      <x:c r="V181" s="16" t="str">
        <x:v>not_started</x:v>
      </x:c>
      <x:c r="W181" s="16"/>
      <x:c r="X181" s="16"/>
      <x:c r="Y181" s="16"/>
      <x:c r="Z181" s="16"/>
      <x:c r="AA181" s="16"/>
      <x:c r="AB181" s="16"/>
      <x:c r="AC181" s="16"/>
      <x:c r="AD181" s="16"/>
      <x:c r="AE181" s="16"/>
      <x:c r="AF181" s="16"/>
      <x:c r="AG181" s="16"/>
      <x:c r="AH181" s="16"/>
      <x:c r="AI181" s="16"/>
      <x:c r="AJ181" s="16"/>
      <x:c r="AK181" s="16"/>
      <x:c r="AL181" s="16"/>
      <x:c r="AM181" s="16"/>
      <x:c r="AN181" s="16"/>
      <x:c r="AO181" s="16"/>
      <x:c r="AP181" s="16"/>
      <x:c r="AQ181" s="16"/>
      <x:c r="AR181" s="16"/>
      <x:c r="AS181" s="16"/>
      <x:c r="AT181" s="20"/>
      <x:c r="AU181" s="16"/>
      <x:c r="AV181" s="16"/>
      <x:c r="AW181" s="16" t="str">
        <x:v>pending</x:v>
      </x:c>
      <x:c r="AX181" s="17" t="str">
        <x:v>blocked_not_validated</x:v>
      </x:c>
      <x:c r="AY181" s="18" t="str">
        <x:f>IF(OR(C181="yes",X181="corrected",COUNTIF(Z181:AL181,"major")&gt;0,COUNTIF(Z181:AL181,"blocker")&gt;0,OR(AO181="repair",AO181="segment",AO181="replace",AO181="block")),"yes","no")</x:f>
        <x:v>no</x:v>
      </x:c>
      <x:c r="AZ181" s="18" t="str">
        <x:f>IF(AND(V181="reviewed",W181&gt;=1,X181&lt;&gt;"",Y181&lt;&gt;"",COUNTA(Z181:AL181)=13,AM181&lt;&gt;"",AN181&lt;&gt;"",AO181&lt;&gt;"",AP181&lt;&gt;"",AQ181&lt;&gt;"",AR181&lt;&gt;"",AS181="I_listened_at_1x_and_completed_all_required_fields",AT181&lt;&gt;"",AW181="adjudicated",OR(AY181="no",AND(AU181&lt;&gt;"",AV181&lt;&gt;""))),"complete","incomplete")</x:f>
        <x:v>incomplete</x:v>
      </x:c>
      <x:c r="BA181" s="18" t="str">
        <x:f>IF(AZ181="complete","none","faltan campos humanos, adjudicación o segunda revisión")</x:f>
        <x:v>faltan campos humanos, adjudicación o segunda revisión</x:v>
      </x:c>
    </x:row>
    <x:row r="182" ht="36" customHeight="1">
      <x:c r="A182" s="15" t="n">
        <x:v>181</x:v>
      </x:c>
      <x:c r="B182" s="15" t="str">
        <x:v>P2-TECH</x:v>
      </x:c>
      <x:c r="C182" s="15" t="str">
        <x:v>no</x:v>
      </x:c>
      <x:c r="D182" s="15" t="str">
        <x:v>asset:toefl:set-5:part-12:repeat-1</x:v>
      </x:c>
      <x:c r="E182" s="15" t="str">
        <x:v>set-5</x:v>
      </x:c>
      <x:c r="F182" s="15" t="str">
        <x:v>Listen and Repeat</x:v>
      </x:c>
      <x:c r="G182" s="15" t="str">
        <x:v>/Users/josedavidduartesilva/Developer/idiomaswl/public/audio/toefl/set-5/repeat-1.mp3</x:v>
      </x:c>
      <x:c r="H182" s="19" t="n">
        <x:v>1.86</x:v>
      </x:c>
      <x:c r="I182" s="15" t="str">
        <x:v>P2</x:v>
      </x:c>
      <x:c r="J182" s="15" t="str">
        <x:v>100_percent_required_T08</x:v>
      </x:c>
      <x:c r="K182" s="15" t="str">
        <x:v>fail_actionable</x:v>
      </x:c>
      <x:c r="L182" s="15" t="str">
        <x:v>TECH-LDN-002</x:v>
      </x:c>
      <x:c r="M182" s="15" t="str">
        <x:v>none</x:v>
      </x:c>
      <x:c r="N182" s="15" t="str">
        <x:v>measure_gain_create_versioned_normalized_variant</x:v>
      </x:c>
      <x:c r="O182" s="15" t="str">
        <x:v>source_exact_normalized_supported_pending_human</x:v>
      </x:c>
      <x:c r="P182" s="15" t="str">
        <x:v>TECH-T06-FAIL</x:v>
      </x:c>
      <x:c r="Q182" s="15" t="str">
        <x:v>The train leaves at nine.</x:v>
      </x:c>
      <x:c r="R182" s="15" t="str">
        <x:v>The train leaves at nine.</x:v>
      </x:c>
      <x:c r="S182" s="15" t="str">
        <x:v>none</x:v>
      </x:c>
      <x:c r="T182" s="15" t="str">
        <x:v>source_contract_preserved_subject_to_T08</x:v>
      </x:c>
      <x:c r="U182" s="15" t="str">
        <x:v>A_linguistic_conserve_candidate</x:v>
      </x:c>
      <x:c r="V182" s="16" t="str">
        <x:v>not_started</x:v>
      </x:c>
      <x:c r="W182" s="16"/>
      <x:c r="X182" s="16"/>
      <x:c r="Y182" s="16"/>
      <x:c r="Z182" s="16"/>
      <x:c r="AA182" s="16"/>
      <x:c r="AB182" s="16"/>
      <x:c r="AC182" s="16"/>
      <x:c r="AD182" s="16"/>
      <x:c r="AE182" s="16"/>
      <x:c r="AF182" s="16"/>
      <x:c r="AG182" s="16"/>
      <x:c r="AH182" s="16"/>
      <x:c r="AI182" s="16"/>
      <x:c r="AJ182" s="16"/>
      <x:c r="AK182" s="16"/>
      <x:c r="AL182" s="16"/>
      <x:c r="AM182" s="16"/>
      <x:c r="AN182" s="16"/>
      <x:c r="AO182" s="16"/>
      <x:c r="AP182" s="16"/>
      <x:c r="AQ182" s="16"/>
      <x:c r="AR182" s="16"/>
      <x:c r="AS182" s="16"/>
      <x:c r="AT182" s="20"/>
      <x:c r="AU182" s="16"/>
      <x:c r="AV182" s="16"/>
      <x:c r="AW182" s="16" t="str">
        <x:v>pending</x:v>
      </x:c>
      <x:c r="AX182" s="17" t="str">
        <x:v>blocked_not_validated</x:v>
      </x:c>
      <x:c r="AY182" s="18" t="str">
        <x:f>IF(OR(C182="yes",X182="corrected",COUNTIF(Z182:AL182,"major")&gt;0,COUNTIF(Z182:AL182,"blocker")&gt;0,OR(AO182="repair",AO182="segment",AO182="replace",AO182="block")),"yes","no")</x:f>
        <x:v>no</x:v>
      </x:c>
      <x:c r="AZ182" s="18" t="str">
        <x:f>IF(AND(V182="reviewed",W182&gt;=1,X182&lt;&gt;"",Y182&lt;&gt;"",COUNTA(Z182:AL182)=13,AM182&lt;&gt;"",AN182&lt;&gt;"",AO182&lt;&gt;"",AP182&lt;&gt;"",AQ182&lt;&gt;"",AR182&lt;&gt;"",AS182="I_listened_at_1x_and_completed_all_required_fields",AT182&lt;&gt;"",AW182="adjudicated",OR(AY182="no",AND(AU182&lt;&gt;"",AV182&lt;&gt;""))),"complete","incomplete")</x:f>
        <x:v>incomplete</x:v>
      </x:c>
      <x:c r="BA182" s="18" t="str">
        <x:f>IF(AZ182="complete","none","faltan campos humanos, adjudicación o segunda revisión")</x:f>
        <x:v>faltan campos humanos, adjudicación o segunda revisión</x:v>
      </x:c>
    </x:row>
    <x:row r="183" ht="36" customHeight="1">
      <x:c r="A183" s="15" t="n">
        <x:v>182</x:v>
      </x:c>
      <x:c r="B183" s="15" t="str">
        <x:v>P2-TECH</x:v>
      </x:c>
      <x:c r="C183" s="15" t="str">
        <x:v>no</x:v>
      </x:c>
      <x:c r="D183" s="15" t="str">
        <x:v>asset:toefl:set-5:part-12:repeat-2</x:v>
      </x:c>
      <x:c r="E183" s="15" t="str">
        <x:v>set-5</x:v>
      </x:c>
      <x:c r="F183" s="15" t="str">
        <x:v>Listen and Repeat</x:v>
      </x:c>
      <x:c r="G183" s="15" t="str">
        <x:v>/Users/josedavidduartesilva/Developer/idiomaswl/public/audio/toefl/set-5/repeat-2.mp3</x:v>
      </x:c>
      <x:c r="H183" s="19" t="n">
        <x:v>3.22</x:v>
      </x:c>
      <x:c r="I183" s="15" t="str">
        <x:v>P2</x:v>
      </x:c>
      <x:c r="J183" s="15" t="str">
        <x:v>100_percent_required_T08</x:v>
      </x:c>
      <x:c r="K183" s="15" t="str">
        <x:v>fail_actionable</x:v>
      </x:c>
      <x:c r="L183" s="15" t="str">
        <x:v>TECH-SIL-002;TECH-LDN-002</x:v>
      </x:c>
      <x:c r="M183" s="15" t="str">
        <x:v>none</x:v>
      </x:c>
      <x:c r="N183" s="15" t="str">
        <x:v>measure_gain_create_versioned_normalized_variant;review_edges_create_versioned_trim_variant</x:v>
      </x:c>
      <x:c r="O183" s="15" t="str">
        <x:v>source_exact_normalized_supported_pending_human</x:v>
      </x:c>
      <x:c r="P183" s="15" t="str">
        <x:v>TECH-T06-FAIL</x:v>
      </x:c>
      <x:c r="Q183" s="15" t="str">
        <x:v>She bought a new umbrella because it was raining.</x:v>
      </x:c>
      <x:c r="R183" s="15" t="str">
        <x:v>She bought a new umbrella because it was raining.</x:v>
      </x:c>
      <x:c r="S183" s="15" t="str">
        <x:v>none</x:v>
      </x:c>
      <x:c r="T183" s="15" t="str">
        <x:v>source_contract_preserved_subject_to_T08</x:v>
      </x:c>
      <x:c r="U183" s="15" t="str">
        <x:v>A_linguistic_conserve_candidate</x:v>
      </x:c>
      <x:c r="V183" s="16" t="str">
        <x:v>not_started</x:v>
      </x:c>
      <x:c r="W183" s="16"/>
      <x:c r="X183" s="16"/>
      <x:c r="Y183" s="16"/>
      <x:c r="Z183" s="16"/>
      <x:c r="AA183" s="16"/>
      <x:c r="AB183" s="16"/>
      <x:c r="AC183" s="16"/>
      <x:c r="AD183" s="16"/>
      <x:c r="AE183" s="16"/>
      <x:c r="AF183" s="16"/>
      <x:c r="AG183" s="16"/>
      <x:c r="AH183" s="16"/>
      <x:c r="AI183" s="16"/>
      <x:c r="AJ183" s="16"/>
      <x:c r="AK183" s="16"/>
      <x:c r="AL183" s="16"/>
      <x:c r="AM183" s="16"/>
      <x:c r="AN183" s="16"/>
      <x:c r="AO183" s="16"/>
      <x:c r="AP183" s="16"/>
      <x:c r="AQ183" s="16"/>
      <x:c r="AR183" s="16"/>
      <x:c r="AS183" s="16"/>
      <x:c r="AT183" s="20"/>
      <x:c r="AU183" s="16"/>
      <x:c r="AV183" s="16"/>
      <x:c r="AW183" s="16" t="str">
        <x:v>pending</x:v>
      </x:c>
      <x:c r="AX183" s="17" t="str">
        <x:v>blocked_not_validated</x:v>
      </x:c>
      <x:c r="AY183" s="18" t="str">
        <x:f>IF(OR(C183="yes",X183="corrected",COUNTIF(Z183:AL183,"major")&gt;0,COUNTIF(Z183:AL183,"blocker")&gt;0,OR(AO183="repair",AO183="segment",AO183="replace",AO183="block")),"yes","no")</x:f>
        <x:v>no</x:v>
      </x:c>
      <x:c r="AZ183" s="18" t="str">
        <x:f>IF(AND(V183="reviewed",W183&gt;=1,X183&lt;&gt;"",Y183&lt;&gt;"",COUNTA(Z183:AL183)=13,AM183&lt;&gt;"",AN183&lt;&gt;"",AO183&lt;&gt;"",AP183&lt;&gt;"",AQ183&lt;&gt;"",AR183&lt;&gt;"",AS183="I_listened_at_1x_and_completed_all_required_fields",AT183&lt;&gt;"",AW183="adjudicated",OR(AY183="no",AND(AU183&lt;&gt;"",AV183&lt;&gt;""))),"complete","incomplete")</x:f>
        <x:v>incomplete</x:v>
      </x:c>
      <x:c r="BA183" s="18" t="str">
        <x:f>IF(AZ183="complete","none","faltan campos humanos, adjudicación o segunda revisión")</x:f>
        <x:v>faltan campos humanos, adjudicación o segunda revisión</x:v>
      </x:c>
    </x:row>
    <x:row r="184" ht="36" customHeight="1">
      <x:c r="A184" s="15" t="n">
        <x:v>183</x:v>
      </x:c>
      <x:c r="B184" s="15" t="str">
        <x:v>P2-TECH</x:v>
      </x:c>
      <x:c r="C184" s="15" t="str">
        <x:v>no</x:v>
      </x:c>
      <x:c r="D184" s="15" t="str">
        <x:v>asset:toefl:set-5:part-12:repeat-3</x:v>
      </x:c>
      <x:c r="E184" s="15" t="str">
        <x:v>set-5</x:v>
      </x:c>
      <x:c r="F184" s="15" t="str">
        <x:v>Listen and Repeat</x:v>
      </x:c>
      <x:c r="G184" s="15" t="str">
        <x:v>/Users/josedavidduartesilva/Developer/idiomaswl/public/audio/toefl/set-5/repeat-3.mp3</x:v>
      </x:c>
      <x:c r="H184" s="19" t="n">
        <x:v>3.78</x:v>
      </x:c>
      <x:c r="I184" s="15" t="str">
        <x:v>P2</x:v>
      </x:c>
      <x:c r="J184" s="15" t="str">
        <x:v>100_percent_required_T08</x:v>
      </x:c>
      <x:c r="K184" s="15" t="str">
        <x:v>fail_actionable</x:v>
      </x:c>
      <x:c r="L184" s="15" t="str">
        <x:v>TECH-SIL-002</x:v>
      </x:c>
      <x:c r="M184" s="15" t="str">
        <x:v>none</x:v>
      </x:c>
      <x:c r="N184" s="15" t="str">
        <x:v>review_edges_create_versioned_trim_variant</x:v>
      </x:c>
      <x:c r="O184" s="15" t="str">
        <x:v>source_exact_normalized_supported_pending_human</x:v>
      </x:c>
      <x:c r="P184" s="15" t="str">
        <x:v>TECH-T06-FAIL</x:v>
      </x:c>
      <x:c r="Q184" s="15" t="str">
        <x:v>Although the exam was difficult, most of the students passed it.</x:v>
      </x:c>
      <x:c r="R184" s="15" t="str">
        <x:v>Although the exam was difficult, most of the students passed it.</x:v>
      </x:c>
      <x:c r="S184" s="15" t="str">
        <x:v>none</x:v>
      </x:c>
      <x:c r="T184" s="15" t="str">
        <x:v>source_contract_preserved_subject_to_T08</x:v>
      </x:c>
      <x:c r="U184" s="15" t="str">
        <x:v>A_linguistic_conserve_candidate</x:v>
      </x:c>
      <x:c r="V184" s="16" t="str">
        <x:v>not_started</x:v>
      </x:c>
      <x:c r="W184" s="16"/>
      <x:c r="X184" s="16"/>
      <x:c r="Y184" s="16"/>
      <x:c r="Z184" s="16"/>
      <x:c r="AA184" s="16"/>
      <x:c r="AB184" s="16"/>
      <x:c r="AC184" s="16"/>
      <x:c r="AD184" s="16"/>
      <x:c r="AE184" s="16"/>
      <x:c r="AF184" s="16"/>
      <x:c r="AG184" s="16"/>
      <x:c r="AH184" s="16"/>
      <x:c r="AI184" s="16"/>
      <x:c r="AJ184" s="16"/>
      <x:c r="AK184" s="16"/>
      <x:c r="AL184" s="16"/>
      <x:c r="AM184" s="16"/>
      <x:c r="AN184" s="16"/>
      <x:c r="AO184" s="16"/>
      <x:c r="AP184" s="16"/>
      <x:c r="AQ184" s="16"/>
      <x:c r="AR184" s="16"/>
      <x:c r="AS184" s="16"/>
      <x:c r="AT184" s="20"/>
      <x:c r="AU184" s="16"/>
      <x:c r="AV184" s="16"/>
      <x:c r="AW184" s="16" t="str">
        <x:v>pending</x:v>
      </x:c>
      <x:c r="AX184" s="17" t="str">
        <x:v>blocked_not_validated</x:v>
      </x:c>
      <x:c r="AY184" s="18" t="str">
        <x:f>IF(OR(C184="yes",X184="corrected",COUNTIF(Z184:AL184,"major")&gt;0,COUNTIF(Z184:AL184,"blocker")&gt;0,OR(AO184="repair",AO184="segment",AO184="replace",AO184="block")),"yes","no")</x:f>
        <x:v>no</x:v>
      </x:c>
      <x:c r="AZ184" s="18" t="str">
        <x:f>IF(AND(V184="reviewed",W184&gt;=1,X184&lt;&gt;"",Y184&lt;&gt;"",COUNTA(Z184:AL184)=13,AM184&lt;&gt;"",AN184&lt;&gt;"",AO184&lt;&gt;"",AP184&lt;&gt;"",AQ184&lt;&gt;"",AR184&lt;&gt;"",AS184="I_listened_at_1x_and_completed_all_required_fields",AT184&lt;&gt;"",AW184="adjudicated",OR(AY184="no",AND(AU184&lt;&gt;"",AV184&lt;&gt;""))),"complete","incomplete")</x:f>
        <x:v>incomplete</x:v>
      </x:c>
      <x:c r="BA184" s="18" t="str">
        <x:f>IF(AZ184="complete","none","faltan campos humanos, adjudicación o segunda revisión")</x:f>
        <x:v>faltan campos humanos, adjudicación o segunda revisión</x:v>
      </x:c>
    </x:row>
    <x:row r="185" ht="36" customHeight="1">
      <x:c r="A185" s="15" t="n">
        <x:v>184</x:v>
      </x:c>
      <x:c r="B185" s="15" t="str">
        <x:v>P2-TECH</x:v>
      </x:c>
      <x:c r="C185" s="15" t="str">
        <x:v>no</x:v>
      </x:c>
      <x:c r="D185" s="15" t="str">
        <x:v>asset:toefl:set-6:part-12:repeat-2</x:v>
      </x:c>
      <x:c r="E185" s="15" t="str">
        <x:v>set-6</x:v>
      </x:c>
      <x:c r="F185" s="15" t="str">
        <x:v>Listen and Repeat</x:v>
      </x:c>
      <x:c r="G185" s="15" t="str">
        <x:v>/Users/josedavidduartesilva/Developer/idiomaswl/public/audio/toefl/set-6/repeat-2.mp3</x:v>
      </x:c>
      <x:c r="H185" s="19" t="n">
        <x:v>2.82</x:v>
      </x:c>
      <x:c r="I185" s="15" t="str">
        <x:v>P2</x:v>
      </x:c>
      <x:c r="J185" s="15" t="str">
        <x:v>100_percent_required_T08</x:v>
      </x:c>
      <x:c r="K185" s="15" t="str">
        <x:v>fail_actionable</x:v>
      </x:c>
      <x:c r="L185" s="15" t="str">
        <x:v>TECH-LDN-002</x:v>
      </x:c>
      <x:c r="M185" s="15" t="str">
        <x:v>none</x:v>
      </x:c>
      <x:c r="N185" s="15" t="str">
        <x:v>measure_gain_create_versioned_normalized_variant</x:v>
      </x:c>
      <x:c r="O185" s="15" t="str">
        <x:v>source_exact_normalized_supported_pending_human</x:v>
      </x:c>
      <x:c r="P185" s="15" t="str">
        <x:v>TECH-T06-FAIL</x:v>
      </x:c>
      <x:c r="Q185" s="15" t="str">
        <x:v>We missed the bus, so we walked to class.</x:v>
      </x:c>
      <x:c r="R185" s="15" t="str">
        <x:v>We missed the bus, so we walked to class.</x:v>
      </x:c>
      <x:c r="S185" s="15" t="str">
        <x:v>none</x:v>
      </x:c>
      <x:c r="T185" s="15" t="str">
        <x:v>source_contract_preserved_subject_to_T08</x:v>
      </x:c>
      <x:c r="U185" s="15" t="str">
        <x:v>A_linguistic_conserve_candidate</x:v>
      </x:c>
      <x:c r="V185" s="16" t="str">
        <x:v>not_started</x:v>
      </x:c>
      <x:c r="W185" s="16"/>
      <x:c r="X185" s="16"/>
      <x:c r="Y185" s="16"/>
      <x:c r="Z185" s="16"/>
      <x:c r="AA185" s="16"/>
      <x:c r="AB185" s="16"/>
      <x:c r="AC185" s="16"/>
      <x:c r="AD185" s="16"/>
      <x:c r="AE185" s="16"/>
      <x:c r="AF185" s="16"/>
      <x:c r="AG185" s="16"/>
      <x:c r="AH185" s="16"/>
      <x:c r="AI185" s="16"/>
      <x:c r="AJ185" s="16"/>
      <x:c r="AK185" s="16"/>
      <x:c r="AL185" s="16"/>
      <x:c r="AM185" s="16"/>
      <x:c r="AN185" s="16"/>
      <x:c r="AO185" s="16"/>
      <x:c r="AP185" s="16"/>
      <x:c r="AQ185" s="16"/>
      <x:c r="AR185" s="16"/>
      <x:c r="AS185" s="16"/>
      <x:c r="AT185" s="20"/>
      <x:c r="AU185" s="16"/>
      <x:c r="AV185" s="16"/>
      <x:c r="AW185" s="16" t="str">
        <x:v>pending</x:v>
      </x:c>
      <x:c r="AX185" s="17" t="str">
        <x:v>blocked_not_validated</x:v>
      </x:c>
      <x:c r="AY185" s="18" t="str">
        <x:f>IF(OR(C185="yes",X185="corrected",COUNTIF(Z185:AL185,"major")&gt;0,COUNTIF(Z185:AL185,"blocker")&gt;0,OR(AO185="repair",AO185="segment",AO185="replace",AO185="block")),"yes","no")</x:f>
        <x:v>no</x:v>
      </x:c>
      <x:c r="AZ185" s="18" t="str">
        <x:f>IF(AND(V185="reviewed",W185&gt;=1,X185&lt;&gt;"",Y185&lt;&gt;"",COUNTA(Z185:AL185)=13,AM185&lt;&gt;"",AN185&lt;&gt;"",AO185&lt;&gt;"",AP185&lt;&gt;"",AQ185&lt;&gt;"",AR185&lt;&gt;"",AS185="I_listened_at_1x_and_completed_all_required_fields",AT185&lt;&gt;"",AW185="adjudicated",OR(AY185="no",AND(AU185&lt;&gt;"",AV185&lt;&gt;""))),"complete","incomplete")</x:f>
        <x:v>incomplete</x:v>
      </x:c>
      <x:c r="BA185" s="18" t="str">
        <x:f>IF(AZ185="complete","none","faltan campos humanos, adjudicación o segunda revisión")</x:f>
        <x:v>faltan campos humanos, adjudicación o segunda revisión</x:v>
      </x:c>
    </x:row>
    <x:row r="186" ht="36" customHeight="1">
      <x:c r="A186" s="15" t="n">
        <x:v>185</x:v>
      </x:c>
      <x:c r="B186" s="15" t="str">
        <x:v>P2-TECH</x:v>
      </x:c>
      <x:c r="C186" s="15" t="str">
        <x:v>no</x:v>
      </x:c>
      <x:c r="D186" s="15" t="str">
        <x:v>asset:toefl:set-6:part-12:repeat-4</x:v>
      </x:c>
      <x:c r="E186" s="15" t="str">
        <x:v>set-6</x:v>
      </x:c>
      <x:c r="F186" s="15" t="str">
        <x:v>Listen and Repeat</x:v>
      </x:c>
      <x:c r="G186" s="15" t="str">
        <x:v>/Users/josedavidduartesilva/Developer/idiomaswl/public/audio/toefl/set-6/repeat-4.mp3</x:v>
      </x:c>
      <x:c r="H186" s="19" t="n">
        <x:v>4.34</x:v>
      </x:c>
      <x:c r="I186" s="15" t="str">
        <x:v>P2</x:v>
      </x:c>
      <x:c r="J186" s="15" t="str">
        <x:v>100_percent_required_T08</x:v>
      </x:c>
      <x:c r="K186" s="15" t="str">
        <x:v>fail_actionable</x:v>
      </x:c>
      <x:c r="L186" s="15" t="str">
        <x:v>TECH-SIL-002</x:v>
      </x:c>
      <x:c r="M186" s="15" t="str">
        <x:v>none</x:v>
      </x:c>
      <x:c r="N186" s="15" t="str">
        <x:v>review_edges_create_versioned_trim_variant</x:v>
      </x:c>
      <x:c r="O186" s="15" t="str">
        <x:v>source_exact_normalized_supported_pending_human</x:v>
      </x:c>
      <x:c r="P186" s="15" t="str">
        <x:v>TECH-T06-FAIL</x:v>
      </x:c>
      <x:c r="Q186" s="15" t="str">
        <x:v>The novel that we read for class was translated from Portuguese.</x:v>
      </x:c>
      <x:c r="R186" s="15" t="str">
        <x:v>The novel that we read for class was translated from Portuguese.</x:v>
      </x:c>
      <x:c r="S186" s="15" t="str">
        <x:v>none</x:v>
      </x:c>
      <x:c r="T186" s="15" t="str">
        <x:v>source_contract_preserved_subject_to_T08</x:v>
      </x:c>
      <x:c r="U186" s="15" t="str">
        <x:v>A_linguistic_conserve_candidate</x:v>
      </x:c>
      <x:c r="V186" s="16" t="str">
        <x:v>not_started</x:v>
      </x:c>
      <x:c r="W186" s="16"/>
      <x:c r="X186" s="16"/>
      <x:c r="Y186" s="16"/>
      <x:c r="Z186" s="16"/>
      <x:c r="AA186" s="16"/>
      <x:c r="AB186" s="16"/>
      <x:c r="AC186" s="16"/>
      <x:c r="AD186" s="16"/>
      <x:c r="AE186" s="16"/>
      <x:c r="AF186" s="16"/>
      <x:c r="AG186" s="16"/>
      <x:c r="AH186" s="16"/>
      <x:c r="AI186" s="16"/>
      <x:c r="AJ186" s="16"/>
      <x:c r="AK186" s="16"/>
      <x:c r="AL186" s="16"/>
      <x:c r="AM186" s="16"/>
      <x:c r="AN186" s="16"/>
      <x:c r="AO186" s="16"/>
      <x:c r="AP186" s="16"/>
      <x:c r="AQ186" s="16"/>
      <x:c r="AR186" s="16"/>
      <x:c r="AS186" s="16"/>
      <x:c r="AT186" s="20"/>
      <x:c r="AU186" s="16"/>
      <x:c r="AV186" s="16"/>
      <x:c r="AW186" s="16" t="str">
        <x:v>pending</x:v>
      </x:c>
      <x:c r="AX186" s="17" t="str">
        <x:v>blocked_not_validated</x:v>
      </x:c>
      <x:c r="AY186" s="18" t="str">
        <x:f>IF(OR(C186="yes",X186="corrected",COUNTIF(Z186:AL186,"major")&gt;0,COUNTIF(Z186:AL186,"blocker")&gt;0,OR(AO186="repair",AO186="segment",AO186="replace",AO186="block")),"yes","no")</x:f>
        <x:v>no</x:v>
      </x:c>
      <x:c r="AZ186" s="18" t="str">
        <x:f>IF(AND(V186="reviewed",W186&gt;=1,X186&lt;&gt;"",Y186&lt;&gt;"",COUNTA(Z186:AL186)=13,AM186&lt;&gt;"",AN186&lt;&gt;"",AO186&lt;&gt;"",AP186&lt;&gt;"",AQ186&lt;&gt;"",AR186&lt;&gt;"",AS186="I_listened_at_1x_and_completed_all_required_fields",AT186&lt;&gt;"",AW186="adjudicated",OR(AY186="no",AND(AU186&lt;&gt;"",AV186&lt;&gt;""))),"complete","incomplete")</x:f>
        <x:v>incomplete</x:v>
      </x:c>
      <x:c r="BA186" s="18" t="str">
        <x:f>IF(AZ186="complete","none","faltan campos humanos, adjudicación o segunda revisión")</x:f>
        <x:v>faltan campos humanos, adjudicación o segunda revisión</x:v>
      </x:c>
    </x:row>
    <x:row r="187" ht="36" customHeight="1">
      <x:c r="A187" s="15" t="n">
        <x:v>186</x:v>
      </x:c>
      <x:c r="B187" s="15" t="str">
        <x:v>P2-TECH</x:v>
      </x:c>
      <x:c r="C187" s="15" t="str">
        <x:v>no</x:v>
      </x:c>
      <x:c r="D187" s="15" t="str">
        <x:v>asset:toefl:set-8:part-12:repeat-1</x:v>
      </x:c>
      <x:c r="E187" s="15" t="str">
        <x:v>set-8</x:v>
      </x:c>
      <x:c r="F187" s="15" t="str">
        <x:v>Listen and Repeat</x:v>
      </x:c>
      <x:c r="G187" s="15" t="str">
        <x:v>/Users/josedavidduartesilva/Developer/idiomaswl/public/audio/toefl/set-8/repeat-1.mp3</x:v>
      </x:c>
      <x:c r="H187" s="19" t="n">
        <x:v>1.94</x:v>
      </x:c>
      <x:c r="I187" s="15" t="str">
        <x:v>P2</x:v>
      </x:c>
      <x:c r="J187" s="15" t="str">
        <x:v>100_percent_required_T08</x:v>
      </x:c>
      <x:c r="K187" s="15" t="str">
        <x:v>fail_actionable</x:v>
      </x:c>
      <x:c r="L187" s="15" t="str">
        <x:v>TECH-LDN-002</x:v>
      </x:c>
      <x:c r="M187" s="15" t="str">
        <x:v>none</x:v>
      </x:c>
      <x:c r="N187" s="15" t="str">
        <x:v>measure_gain_create_versioned_normalized_variant</x:v>
      </x:c>
      <x:c r="O187" s="15" t="str">
        <x:v>source_exact_normalized_supported_pending_human</x:v>
      </x:c>
      <x:c r="P187" s="15" t="str">
        <x:v>TECH-T06-FAIL</x:v>
      </x:c>
      <x:c r="Q187" s="15" t="str">
        <x:v>The meeting is on Friday.</x:v>
      </x:c>
      <x:c r="R187" s="15" t="str">
        <x:v>The meeting is on Friday.</x:v>
      </x:c>
      <x:c r="S187" s="15" t="str">
        <x:v>none</x:v>
      </x:c>
      <x:c r="T187" s="15" t="str">
        <x:v>source_contract_preserved_subject_to_T08</x:v>
      </x:c>
      <x:c r="U187" s="15" t="str">
        <x:v>A_linguistic_conserve_candidate</x:v>
      </x:c>
      <x:c r="V187" s="16" t="str">
        <x:v>not_started</x:v>
      </x:c>
      <x:c r="W187" s="16"/>
      <x:c r="X187" s="16"/>
      <x:c r="Y187" s="16"/>
      <x:c r="Z187" s="16"/>
      <x:c r="AA187" s="16"/>
      <x:c r="AB187" s="16"/>
      <x:c r="AC187" s="16"/>
      <x:c r="AD187" s="16"/>
      <x:c r="AE187" s="16"/>
      <x:c r="AF187" s="16"/>
      <x:c r="AG187" s="16"/>
      <x:c r="AH187" s="16"/>
      <x:c r="AI187" s="16"/>
      <x:c r="AJ187" s="16"/>
      <x:c r="AK187" s="16"/>
      <x:c r="AL187" s="16"/>
      <x:c r="AM187" s="16"/>
      <x:c r="AN187" s="16"/>
      <x:c r="AO187" s="16"/>
      <x:c r="AP187" s="16"/>
      <x:c r="AQ187" s="16"/>
      <x:c r="AR187" s="16"/>
      <x:c r="AS187" s="16"/>
      <x:c r="AT187" s="20"/>
      <x:c r="AU187" s="16"/>
      <x:c r="AV187" s="16"/>
      <x:c r="AW187" s="16" t="str">
        <x:v>pending</x:v>
      </x:c>
      <x:c r="AX187" s="17" t="str">
        <x:v>blocked_not_validated</x:v>
      </x:c>
      <x:c r="AY187" s="18" t="str">
        <x:f>IF(OR(C187="yes",X187="corrected",COUNTIF(Z187:AL187,"major")&gt;0,COUNTIF(Z187:AL187,"blocker")&gt;0,OR(AO187="repair",AO187="segment",AO187="replace",AO187="block")),"yes","no")</x:f>
        <x:v>no</x:v>
      </x:c>
      <x:c r="AZ187" s="18" t="str">
        <x:f>IF(AND(V187="reviewed",W187&gt;=1,X187&lt;&gt;"",Y187&lt;&gt;"",COUNTA(Z187:AL187)=13,AM187&lt;&gt;"",AN187&lt;&gt;"",AO187&lt;&gt;"",AP187&lt;&gt;"",AQ187&lt;&gt;"",AR187&lt;&gt;"",AS187="I_listened_at_1x_and_completed_all_required_fields",AT187&lt;&gt;"",AW187="adjudicated",OR(AY187="no",AND(AU187&lt;&gt;"",AV187&lt;&gt;""))),"complete","incomplete")</x:f>
        <x:v>incomplete</x:v>
      </x:c>
      <x:c r="BA187" s="18" t="str">
        <x:f>IF(AZ187="complete","none","faltan campos humanos, adjudicación o segunda revisión")</x:f>
        <x:v>faltan campos humanos, adjudicación o segunda revisión</x:v>
      </x:c>
    </x:row>
    <x:row r="188" ht="36" customHeight="1">
      <x:c r="A188" s="15" t="n">
        <x:v>187</x:v>
      </x:c>
      <x:c r="B188" s="15" t="str">
        <x:v>P2-TECH</x:v>
      </x:c>
      <x:c r="C188" s="15" t="str">
        <x:v>no</x:v>
      </x:c>
      <x:c r="D188" s="15" t="str">
        <x:v>asset:toefl:set-9:part-12:repeat-1</x:v>
      </x:c>
      <x:c r="E188" s="15" t="str">
        <x:v>set-9</x:v>
      </x:c>
      <x:c r="F188" s="15" t="str">
        <x:v>Listen and Repeat</x:v>
      </x:c>
      <x:c r="G188" s="15" t="str">
        <x:v>/Users/josedavidduartesilva/Developer/idiomaswl/public/audio/toefl/set-9/repeat-1.mp3</x:v>
      </x:c>
      <x:c r="H188" s="19" t="n">
        <x:v>2.18</x:v>
      </x:c>
      <x:c r="I188" s="15" t="str">
        <x:v>P2</x:v>
      </x:c>
      <x:c r="J188" s="15" t="str">
        <x:v>100_percent_required_T08</x:v>
      </x:c>
      <x:c r="K188" s="15" t="str">
        <x:v>fail_actionable</x:v>
      </x:c>
      <x:c r="L188" s="15" t="str">
        <x:v>TECH-LDN-002</x:v>
      </x:c>
      <x:c r="M188" s="15" t="str">
        <x:v>TECH-PEAK-003</x:v>
      </x:c>
      <x:c r="N188" s="15" t="str">
        <x:v>measure_gain_create_versioned_normalized_variant</x:v>
      </x:c>
      <x:c r="O188" s="15" t="str">
        <x:v>source_exact_normalized_supported_pending_human</x:v>
      </x:c>
      <x:c r="P188" s="15" t="str">
        <x:v>TECH-T06-FAIL</x:v>
      </x:c>
      <x:c r="Q188" s="15" t="str">
        <x:v>The library is on the left.</x:v>
      </x:c>
      <x:c r="R188" s="15" t="str">
        <x:v>The library is on the left.</x:v>
      </x:c>
      <x:c r="S188" s="15" t="str">
        <x:v>none</x:v>
      </x:c>
      <x:c r="T188" s="15" t="str">
        <x:v>source_contract_preserved_subject_to_T08</x:v>
      </x:c>
      <x:c r="U188" s="15" t="str">
        <x:v>A_linguistic_conserve_candidate</x:v>
      </x:c>
      <x:c r="V188" s="16" t="str">
        <x:v>not_started</x:v>
      </x:c>
      <x:c r="W188" s="16"/>
      <x:c r="X188" s="16"/>
      <x:c r="Y188" s="16"/>
      <x:c r="Z188" s="16"/>
      <x:c r="AA188" s="16"/>
      <x:c r="AB188" s="16"/>
      <x:c r="AC188" s="16"/>
      <x:c r="AD188" s="16"/>
      <x:c r="AE188" s="16"/>
      <x:c r="AF188" s="16"/>
      <x:c r="AG188" s="16"/>
      <x:c r="AH188" s="16"/>
      <x:c r="AI188" s="16"/>
      <x:c r="AJ188" s="16"/>
      <x:c r="AK188" s="16"/>
      <x:c r="AL188" s="16"/>
      <x:c r="AM188" s="16"/>
      <x:c r="AN188" s="16"/>
      <x:c r="AO188" s="16"/>
      <x:c r="AP188" s="16"/>
      <x:c r="AQ188" s="16"/>
      <x:c r="AR188" s="16"/>
      <x:c r="AS188" s="16"/>
      <x:c r="AT188" s="20"/>
      <x:c r="AU188" s="16"/>
      <x:c r="AV188" s="16"/>
      <x:c r="AW188" s="16" t="str">
        <x:v>pending</x:v>
      </x:c>
      <x:c r="AX188" s="17" t="str">
        <x:v>blocked_not_validated</x:v>
      </x:c>
      <x:c r="AY188" s="18" t="str">
        <x:f>IF(OR(C188="yes",X188="corrected",COUNTIF(Z188:AL188,"major")&gt;0,COUNTIF(Z188:AL188,"blocker")&gt;0,OR(AO188="repair",AO188="segment",AO188="replace",AO188="block")),"yes","no")</x:f>
        <x:v>no</x:v>
      </x:c>
      <x:c r="AZ188" s="18" t="str">
        <x:f>IF(AND(V188="reviewed",W188&gt;=1,X188&lt;&gt;"",Y188&lt;&gt;"",COUNTA(Z188:AL188)=13,AM188&lt;&gt;"",AN188&lt;&gt;"",AO188&lt;&gt;"",AP188&lt;&gt;"",AQ188&lt;&gt;"",AR188&lt;&gt;"",AS188="I_listened_at_1x_and_completed_all_required_fields",AT188&lt;&gt;"",AW188="adjudicated",OR(AY188="no",AND(AU188&lt;&gt;"",AV188&lt;&gt;""))),"complete","incomplete")</x:f>
        <x:v>incomplete</x:v>
      </x:c>
      <x:c r="BA188" s="18" t="str">
        <x:f>IF(AZ188="complete","none","faltan campos humanos, adjudicación o segunda revisión")</x:f>
        <x:v>faltan campos humanos, adjudicación o segunda revisión</x:v>
      </x:c>
    </x:row>
    <x:row r="189" ht="36" customHeight="1">
      <x:c r="A189" s="15" t="n">
        <x:v>188</x:v>
      </x:c>
      <x:c r="B189" s="15" t="str">
        <x:v>P2-TECH</x:v>
      </x:c>
      <x:c r="C189" s="15" t="str">
        <x:v>no</x:v>
      </x:c>
      <x:c r="D189" s="15" t="str">
        <x:v>asset:toefl:set-9:part-12:repeat-4</x:v>
      </x:c>
      <x:c r="E189" s="15" t="str">
        <x:v>set-9</x:v>
      </x:c>
      <x:c r="F189" s="15" t="str">
        <x:v>Listen and Repeat</x:v>
      </x:c>
      <x:c r="G189" s="15" t="str">
        <x:v>/Users/josedavidduartesilva/Developer/idiomaswl/public/audio/toefl/set-9/repeat-4.mp3</x:v>
      </x:c>
      <x:c r="H189" s="19" t="n">
        <x:v>4.66</x:v>
      </x:c>
      <x:c r="I189" s="15" t="str">
        <x:v>P2</x:v>
      </x:c>
      <x:c r="J189" s="15" t="str">
        <x:v>100_percent_required_T08</x:v>
      </x:c>
      <x:c r="K189" s="15" t="str">
        <x:v>fail_actionable</x:v>
      </x:c>
      <x:c r="L189" s="15" t="str">
        <x:v>TECH-SIL-002</x:v>
      </x:c>
      <x:c r="M189" s="15" t="str">
        <x:v>TECH-PEAK-003</x:v>
      </x:c>
      <x:c r="N189" s="15" t="str">
        <x:v>review_edges_create_versioned_trim_variant</x:v>
      </x:c>
      <x:c r="O189" s="15" t="str">
        <x:v>source_exact_normalized_supported_pending_human</x:v>
      </x:c>
      <x:c r="P189" s="15" t="str">
        <x:v>TECH-T06-FAIL</x:v>
      </x:c>
      <x:c r="Q189" s="15" t="str">
        <x:v>The manager explained that the new policy would take effect next month.</x:v>
      </x:c>
      <x:c r="R189" s="15" t="str">
        <x:v>The manager explained that the new policy would take effect next month.</x:v>
      </x:c>
      <x:c r="S189" s="15" t="str">
        <x:v>none</x:v>
      </x:c>
      <x:c r="T189" s="15" t="str">
        <x:v>source_contract_preserved_subject_to_T08</x:v>
      </x:c>
      <x:c r="U189" s="15" t="str">
        <x:v>A_linguistic_conserve_candidate</x:v>
      </x:c>
      <x:c r="V189" s="16" t="str">
        <x:v>not_started</x:v>
      </x:c>
      <x:c r="W189" s="16"/>
      <x:c r="X189" s="16"/>
      <x:c r="Y189" s="16"/>
      <x:c r="Z189" s="16"/>
      <x:c r="AA189" s="16"/>
      <x:c r="AB189" s="16"/>
      <x:c r="AC189" s="16"/>
      <x:c r="AD189" s="16"/>
      <x:c r="AE189" s="16"/>
      <x:c r="AF189" s="16"/>
      <x:c r="AG189" s="16"/>
      <x:c r="AH189" s="16"/>
      <x:c r="AI189" s="16"/>
      <x:c r="AJ189" s="16"/>
      <x:c r="AK189" s="16"/>
      <x:c r="AL189" s="16"/>
      <x:c r="AM189" s="16"/>
      <x:c r="AN189" s="16"/>
      <x:c r="AO189" s="16"/>
      <x:c r="AP189" s="16"/>
      <x:c r="AQ189" s="16"/>
      <x:c r="AR189" s="16"/>
      <x:c r="AS189" s="16"/>
      <x:c r="AT189" s="20"/>
      <x:c r="AU189" s="16"/>
      <x:c r="AV189" s="16"/>
      <x:c r="AW189" s="16" t="str">
        <x:v>pending</x:v>
      </x:c>
      <x:c r="AX189" s="17" t="str">
        <x:v>blocked_not_validated</x:v>
      </x:c>
      <x:c r="AY189" s="18" t="str">
        <x:f>IF(OR(C189="yes",X189="corrected",COUNTIF(Z189:AL189,"major")&gt;0,COUNTIF(Z189:AL189,"blocker")&gt;0,OR(AO189="repair",AO189="segment",AO189="replace",AO189="block")),"yes","no")</x:f>
        <x:v>no</x:v>
      </x:c>
      <x:c r="AZ189" s="18" t="str">
        <x:f>IF(AND(V189="reviewed",W189&gt;=1,X189&lt;&gt;"",Y189&lt;&gt;"",COUNTA(Z189:AL189)=13,AM189&lt;&gt;"",AN189&lt;&gt;"",AO189&lt;&gt;"",AP189&lt;&gt;"",AQ189&lt;&gt;"",AR189&lt;&gt;"",AS189="I_listened_at_1x_and_completed_all_required_fields",AT189&lt;&gt;"",AW189="adjudicated",OR(AY189="no",AND(AU189&lt;&gt;"",AV189&lt;&gt;""))),"complete","incomplete")</x:f>
        <x:v>incomplete</x:v>
      </x:c>
      <x:c r="BA189" s="18" t="str">
        <x:f>IF(AZ189="complete","none","faltan campos humanos, adjudicación o segunda revisión")</x:f>
        <x:v>faltan campos humanos, adjudicación o segunda revisión</x:v>
      </x:c>
    </x:row>
    <x:row r="190" ht="36" customHeight="1">
      <x:c r="A190" s="15" t="n">
        <x:v>189</x:v>
      </x:c>
      <x:c r="B190" s="15" t="str">
        <x:v>P2-TECH</x:v>
      </x:c>
      <x:c r="C190" s="15" t="str">
        <x:v>no</x:v>
      </x:c>
      <x:c r="D190" s="15" t="str">
        <x:v>asset:toefl:set-10:part-12:repeat-2</x:v>
      </x:c>
      <x:c r="E190" s="15" t="str">
        <x:v>set-10</x:v>
      </x:c>
      <x:c r="F190" s="15" t="str">
        <x:v>Listen and Repeat</x:v>
      </x:c>
      <x:c r="G190" s="15" t="str">
        <x:v>/Users/josedavidduartesilva/Developer/idiomaswl/public/audio/toefl/set-10/repeat-2.mp3</x:v>
      </x:c>
      <x:c r="H190" s="19" t="n">
        <x:v>3.14</x:v>
      </x:c>
      <x:c r="I190" s="15" t="str">
        <x:v>P2</x:v>
      </x:c>
      <x:c r="J190" s="15" t="str">
        <x:v>100_percent_required_T08</x:v>
      </x:c>
      <x:c r="K190" s="15" t="str">
        <x:v>fail_actionable</x:v>
      </x:c>
      <x:c r="L190" s="15" t="str">
        <x:v>TECH-SIL-002</x:v>
      </x:c>
      <x:c r="M190" s="15" t="str">
        <x:v>none</x:v>
      </x:c>
      <x:c r="N190" s="15" t="str">
        <x:v>review_edges_create_versioned_trim_variant</x:v>
      </x:c>
      <x:c r="O190" s="15" t="str">
        <x:v>source_exact_normalized_supported_pending_human</x:v>
      </x:c>
      <x:c r="P190" s="15" t="str">
        <x:v>TECH-T06-FAIL</x:v>
      </x:c>
      <x:c r="Q190" s="15" t="str">
        <x:v>She turned off the computer and went to bed.</x:v>
      </x:c>
      <x:c r="R190" s="15" t="str">
        <x:v>She turned off the computer and went to bed.</x:v>
      </x:c>
      <x:c r="S190" s="15" t="str">
        <x:v>none</x:v>
      </x:c>
      <x:c r="T190" s="15" t="str">
        <x:v>source_contract_preserved_subject_to_T08</x:v>
      </x:c>
      <x:c r="U190" s="15" t="str">
        <x:v>A_linguistic_conserve_candidate</x:v>
      </x:c>
      <x:c r="V190" s="16" t="str">
        <x:v>not_started</x:v>
      </x:c>
      <x:c r="W190" s="16"/>
      <x:c r="X190" s="16"/>
      <x:c r="Y190" s="16"/>
      <x:c r="Z190" s="16"/>
      <x:c r="AA190" s="16"/>
      <x:c r="AB190" s="16"/>
      <x:c r="AC190" s="16"/>
      <x:c r="AD190" s="16"/>
      <x:c r="AE190" s="16"/>
      <x:c r="AF190" s="16"/>
      <x:c r="AG190" s="16"/>
      <x:c r="AH190" s="16"/>
      <x:c r="AI190" s="16"/>
      <x:c r="AJ190" s="16"/>
      <x:c r="AK190" s="16"/>
      <x:c r="AL190" s="16"/>
      <x:c r="AM190" s="16"/>
      <x:c r="AN190" s="16"/>
      <x:c r="AO190" s="16"/>
      <x:c r="AP190" s="16"/>
      <x:c r="AQ190" s="16"/>
      <x:c r="AR190" s="16"/>
      <x:c r="AS190" s="16"/>
      <x:c r="AT190" s="20"/>
      <x:c r="AU190" s="16"/>
      <x:c r="AV190" s="16"/>
      <x:c r="AW190" s="16" t="str">
        <x:v>pending</x:v>
      </x:c>
      <x:c r="AX190" s="17" t="str">
        <x:v>blocked_not_validated</x:v>
      </x:c>
      <x:c r="AY190" s="18" t="str">
        <x:f>IF(OR(C190="yes",X190="corrected",COUNTIF(Z190:AL190,"major")&gt;0,COUNTIF(Z190:AL190,"blocker")&gt;0,OR(AO190="repair",AO190="segment",AO190="replace",AO190="block")),"yes","no")</x:f>
        <x:v>no</x:v>
      </x:c>
      <x:c r="AZ190" s="18" t="str">
        <x:f>IF(AND(V190="reviewed",W190&gt;=1,X190&lt;&gt;"",Y190&lt;&gt;"",COUNTA(Z190:AL190)=13,AM190&lt;&gt;"",AN190&lt;&gt;"",AO190&lt;&gt;"",AP190&lt;&gt;"",AQ190&lt;&gt;"",AR190&lt;&gt;"",AS190="I_listened_at_1x_and_completed_all_required_fields",AT190&lt;&gt;"",AW190="adjudicated",OR(AY190="no",AND(AU190&lt;&gt;"",AV190&lt;&gt;""))),"complete","incomplete")</x:f>
        <x:v>incomplete</x:v>
      </x:c>
      <x:c r="BA190" s="18" t="str">
        <x:f>IF(AZ190="complete","none","faltan campos humanos, adjudicación o segunda revisión")</x:f>
        <x:v>faltan campos humanos, adjudicación o segunda revisión</x:v>
      </x:c>
    </x:row>
    <x:row r="191" ht="36" customHeight="1">
      <x:c r="A191" s="15" t="n">
        <x:v>190</x:v>
      </x:c>
      <x:c r="B191" s="15" t="str">
        <x:v>P2-TECH</x:v>
      </x:c>
      <x:c r="C191" s="15" t="str">
        <x:v>no</x:v>
      </x:c>
      <x:c r="D191" s="15" t="str">
        <x:v>asset:toefl:set-10:part-12:repeat-5</x:v>
      </x:c>
      <x:c r="E191" s="15" t="str">
        <x:v>set-10</x:v>
      </x:c>
      <x:c r="F191" s="15" t="str">
        <x:v>Listen and Repeat</x:v>
      </x:c>
      <x:c r="G191" s="15" t="str">
        <x:v>/Users/josedavidduartesilva/Developer/idiomaswl/public/audio/toefl/set-10/repeat-5.mp3</x:v>
      </x:c>
      <x:c r="H191" s="19" t="n">
        <x:v>5.78</x:v>
      </x:c>
      <x:c r="I191" s="15" t="str">
        <x:v>P2</x:v>
      </x:c>
      <x:c r="J191" s="15" t="str">
        <x:v>100_percent_required_T08</x:v>
      </x:c>
      <x:c r="K191" s="15" t="str">
        <x:v>fail_actionable</x:v>
      </x:c>
      <x:c r="L191" s="15" t="str">
        <x:v>TECH-SIL-002</x:v>
      </x:c>
      <x:c r="M191" s="15" t="str">
        <x:v>none</x:v>
      </x:c>
      <x:c r="N191" s="15" t="str">
        <x:v>review_edges_create_versioned_trim_variant</x:v>
      </x:c>
      <x:c r="O191" s="15" t="str">
        <x:v>source_exact_normalized_supported_pending_human</x:v>
      </x:c>
      <x:c r="P191" s="15" t="str">
        <x:v>TECH-T06-FAIL</x:v>
      </x:c>
      <x:c r="Q191" s="15" t="str">
        <x:v>Even though the project was challenging, the team completed it ahead of the original schedule.</x:v>
      </x:c>
      <x:c r="R191" s="15" t="str">
        <x:v>Even though the project was challenging, the team completed it ahead of the original schedule.</x:v>
      </x:c>
      <x:c r="S191" s="15" t="str">
        <x:v>none</x:v>
      </x:c>
      <x:c r="T191" s="15" t="str">
        <x:v>source_contract_preserved_subject_to_T08</x:v>
      </x:c>
      <x:c r="U191" s="15" t="str">
        <x:v>A_linguistic_conserve_candidate</x:v>
      </x:c>
      <x:c r="V191" s="16" t="str">
        <x:v>not_started</x:v>
      </x:c>
      <x:c r="W191" s="16"/>
      <x:c r="X191" s="16"/>
      <x:c r="Y191" s="16"/>
      <x:c r="Z191" s="16"/>
      <x:c r="AA191" s="16"/>
      <x:c r="AB191" s="16"/>
      <x:c r="AC191" s="16"/>
      <x:c r="AD191" s="16"/>
      <x:c r="AE191" s="16"/>
      <x:c r="AF191" s="16"/>
      <x:c r="AG191" s="16"/>
      <x:c r="AH191" s="16"/>
      <x:c r="AI191" s="16"/>
      <x:c r="AJ191" s="16"/>
      <x:c r="AK191" s="16"/>
      <x:c r="AL191" s="16"/>
      <x:c r="AM191" s="16"/>
      <x:c r="AN191" s="16"/>
      <x:c r="AO191" s="16"/>
      <x:c r="AP191" s="16"/>
      <x:c r="AQ191" s="16"/>
      <x:c r="AR191" s="16"/>
      <x:c r="AS191" s="16"/>
      <x:c r="AT191" s="20"/>
      <x:c r="AU191" s="16"/>
      <x:c r="AV191" s="16"/>
      <x:c r="AW191" s="16" t="str">
        <x:v>pending</x:v>
      </x:c>
      <x:c r="AX191" s="17" t="str">
        <x:v>blocked_not_validated</x:v>
      </x:c>
      <x:c r="AY191" s="18" t="str">
        <x:f>IF(OR(C191="yes",X191="corrected",COUNTIF(Z191:AL191,"major")&gt;0,COUNTIF(Z191:AL191,"blocker")&gt;0,OR(AO191="repair",AO191="segment",AO191="replace",AO191="block")),"yes","no")</x:f>
        <x:v>no</x:v>
      </x:c>
      <x:c r="AZ191" s="18" t="str">
        <x:f>IF(AND(V191="reviewed",W191&gt;=1,X191&lt;&gt;"",Y191&lt;&gt;"",COUNTA(Z191:AL191)=13,AM191&lt;&gt;"",AN191&lt;&gt;"",AO191&lt;&gt;"",AP191&lt;&gt;"",AQ191&lt;&gt;"",AR191&lt;&gt;"",AS191="I_listened_at_1x_and_completed_all_required_fields",AT191&lt;&gt;"",AW191="adjudicated",OR(AY191="no",AND(AU191&lt;&gt;"",AV191&lt;&gt;""))),"complete","incomplete")</x:f>
        <x:v>incomplete</x:v>
      </x:c>
      <x:c r="BA191" s="18" t="str">
        <x:f>IF(AZ191="complete","none","faltan campos humanos, adjudicación o segunda revisión")</x:f>
        <x:v>faltan campos humanos, adjudicación o segunda revisión</x:v>
      </x:c>
    </x:row>
    <x:row r="192" ht="36" customHeight="1">
      <x:c r="A192" s="15" t="n">
        <x:v>191</x:v>
      </x:c>
      <x:c r="B192" s="15" t="str">
        <x:v>P2-TECH</x:v>
      </x:c>
      <x:c r="C192" s="15" t="str">
        <x:v>no</x:v>
      </x:c>
      <x:c r="D192" s="15" t="str">
        <x:v>asset:toefl:set-14:part-12:repeat-2</x:v>
      </x:c>
      <x:c r="E192" s="15" t="str">
        <x:v>set-14</x:v>
      </x:c>
      <x:c r="F192" s="15" t="str">
        <x:v>Listen and Repeat</x:v>
      </x:c>
      <x:c r="G192" s="15" t="str">
        <x:v>/Users/josedavidduartesilva/Developer/idiomaswl/public/audio/toefl/set-14/repeat-2.mp3</x:v>
      </x:c>
      <x:c r="H192" s="19" t="n">
        <x:v>2.5</x:v>
      </x:c>
      <x:c r="I192" s="15" t="str">
        <x:v>P2</x:v>
      </x:c>
      <x:c r="J192" s="15" t="str">
        <x:v>100_percent_required_T08</x:v>
      </x:c>
      <x:c r="K192" s="15" t="str">
        <x:v>fail_actionable</x:v>
      </x:c>
      <x:c r="L192" s="15" t="str">
        <x:v>TECH-LDN-002</x:v>
      </x:c>
      <x:c r="M192" s="15" t="str">
        <x:v>none</x:v>
      </x:c>
      <x:c r="N192" s="15" t="str">
        <x:v>measure_gain_create_versioned_normalized_variant</x:v>
      </x:c>
      <x:c r="O192" s="15" t="str">
        <x:v>source_exact_normalized_supported_pending_human</x:v>
      </x:c>
      <x:c r="P192" s="15" t="str">
        <x:v>TECH-T06-FAIL</x:v>
      </x:c>
      <x:c r="Q192" s="15" t="str">
        <x:v>She caught the early train to the city.</x:v>
      </x:c>
      <x:c r="R192" s="15" t="str">
        <x:v>She caught the early train to the city.</x:v>
      </x:c>
      <x:c r="S192" s="15" t="str">
        <x:v>none</x:v>
      </x:c>
      <x:c r="T192" s="15" t="str">
        <x:v>source_contract_preserved_subject_to_T08</x:v>
      </x:c>
      <x:c r="U192" s="15" t="str">
        <x:v>A_linguistic_conserve_candidate</x:v>
      </x:c>
      <x:c r="V192" s="16" t="str">
        <x:v>not_started</x:v>
      </x:c>
      <x:c r="W192" s="16"/>
      <x:c r="X192" s="16"/>
      <x:c r="Y192" s="16"/>
      <x:c r="Z192" s="16"/>
      <x:c r="AA192" s="16"/>
      <x:c r="AB192" s="16"/>
      <x:c r="AC192" s="16"/>
      <x:c r="AD192" s="16"/>
      <x:c r="AE192" s="16"/>
      <x:c r="AF192" s="16"/>
      <x:c r="AG192" s="16"/>
      <x:c r="AH192" s="16"/>
      <x:c r="AI192" s="16"/>
      <x:c r="AJ192" s="16"/>
      <x:c r="AK192" s="16"/>
      <x:c r="AL192" s="16"/>
      <x:c r="AM192" s="16"/>
      <x:c r="AN192" s="16"/>
      <x:c r="AO192" s="16"/>
      <x:c r="AP192" s="16"/>
      <x:c r="AQ192" s="16"/>
      <x:c r="AR192" s="16"/>
      <x:c r="AS192" s="16"/>
      <x:c r="AT192" s="20"/>
      <x:c r="AU192" s="16"/>
      <x:c r="AV192" s="16"/>
      <x:c r="AW192" s="16" t="str">
        <x:v>pending</x:v>
      </x:c>
      <x:c r="AX192" s="17" t="str">
        <x:v>blocked_not_validated</x:v>
      </x:c>
      <x:c r="AY192" s="18" t="str">
        <x:f>IF(OR(C192="yes",X192="corrected",COUNTIF(Z192:AL192,"major")&gt;0,COUNTIF(Z192:AL192,"blocker")&gt;0,OR(AO192="repair",AO192="segment",AO192="replace",AO192="block")),"yes","no")</x:f>
        <x:v>no</x:v>
      </x:c>
      <x:c r="AZ192" s="18" t="str">
        <x:f>IF(AND(V192="reviewed",W192&gt;=1,X192&lt;&gt;"",Y192&lt;&gt;"",COUNTA(Z192:AL192)=13,AM192&lt;&gt;"",AN192&lt;&gt;"",AO192&lt;&gt;"",AP192&lt;&gt;"",AQ192&lt;&gt;"",AR192&lt;&gt;"",AS192="I_listened_at_1x_and_completed_all_required_fields",AT192&lt;&gt;"",AW192="adjudicated",OR(AY192="no",AND(AU192&lt;&gt;"",AV192&lt;&gt;""))),"complete","incomplete")</x:f>
        <x:v>incomplete</x:v>
      </x:c>
      <x:c r="BA192" s="18" t="str">
        <x:f>IF(AZ192="complete","none","faltan campos humanos, adjudicación o segunda revisión")</x:f>
        <x:v>faltan campos humanos, adjudicación o segunda revisión</x:v>
      </x:c>
    </x:row>
    <x:row r="193" ht="36" customHeight="1">
      <x:c r="A193" s="15" t="n">
        <x:v>192</x:v>
      </x:c>
      <x:c r="B193" s="15" t="str">
        <x:v>P2-TECH</x:v>
      </x:c>
      <x:c r="C193" s="15" t="str">
        <x:v>no</x:v>
      </x:c>
      <x:c r="D193" s="15" t="str">
        <x:v>asset:toefl:set-15:part-12:repeat-1</x:v>
      </x:c>
      <x:c r="E193" s="15" t="str">
        <x:v>set-15</x:v>
      </x:c>
      <x:c r="F193" s="15" t="str">
        <x:v>Listen and Repeat</x:v>
      </x:c>
      <x:c r="G193" s="15" t="str">
        <x:v>/Users/josedavidduartesilva/Developer/idiomaswl/public/audio/toefl/set-15/repeat-1.mp3</x:v>
      </x:c>
      <x:c r="H193" s="19" t="n">
        <x:v>2.02</x:v>
      </x:c>
      <x:c r="I193" s="15" t="str">
        <x:v>P2</x:v>
      </x:c>
      <x:c r="J193" s="15" t="str">
        <x:v>100_percent_required_T08</x:v>
      </x:c>
      <x:c r="K193" s="15" t="str">
        <x:v>fail_actionable</x:v>
      </x:c>
      <x:c r="L193" s="15" t="str">
        <x:v>TECH-LDN-002</x:v>
      </x:c>
      <x:c r="M193" s="15" t="str">
        <x:v>none</x:v>
      </x:c>
      <x:c r="N193" s="15" t="str">
        <x:v>measure_gain_create_versioned_normalized_variant</x:v>
      </x:c>
      <x:c r="O193" s="15" t="str">
        <x:v>source_exact_normalized_supported_pending_human</x:v>
      </x:c>
      <x:c r="P193" s="15" t="str">
        <x:v>TECH-T06-FAIL</x:v>
      </x:c>
      <x:c r="Q193" s="15" t="str">
        <x:v>The game starts soon.</x:v>
      </x:c>
      <x:c r="R193" s="15" t="str">
        <x:v>The game starts soon.</x:v>
      </x:c>
      <x:c r="S193" s="15" t="str">
        <x:v>none</x:v>
      </x:c>
      <x:c r="T193" s="15" t="str">
        <x:v>source_contract_preserved_subject_to_T08</x:v>
      </x:c>
      <x:c r="U193" s="15" t="str">
        <x:v>A_linguistic_conserve_candidate</x:v>
      </x:c>
      <x:c r="V193" s="16" t="str">
        <x:v>not_started</x:v>
      </x:c>
      <x:c r="W193" s="16"/>
      <x:c r="X193" s="16"/>
      <x:c r="Y193" s="16"/>
      <x:c r="Z193" s="16"/>
      <x:c r="AA193" s="16"/>
      <x:c r="AB193" s="16"/>
      <x:c r="AC193" s="16"/>
      <x:c r="AD193" s="16"/>
      <x:c r="AE193" s="16"/>
      <x:c r="AF193" s="16"/>
      <x:c r="AG193" s="16"/>
      <x:c r="AH193" s="16"/>
      <x:c r="AI193" s="16"/>
      <x:c r="AJ193" s="16"/>
      <x:c r="AK193" s="16"/>
      <x:c r="AL193" s="16"/>
      <x:c r="AM193" s="16"/>
      <x:c r="AN193" s="16"/>
      <x:c r="AO193" s="16"/>
      <x:c r="AP193" s="16"/>
      <x:c r="AQ193" s="16"/>
      <x:c r="AR193" s="16"/>
      <x:c r="AS193" s="16"/>
      <x:c r="AT193" s="20"/>
      <x:c r="AU193" s="16"/>
      <x:c r="AV193" s="16"/>
      <x:c r="AW193" s="16" t="str">
        <x:v>pending</x:v>
      </x:c>
      <x:c r="AX193" s="17" t="str">
        <x:v>blocked_not_validated</x:v>
      </x:c>
      <x:c r="AY193" s="18" t="str">
        <x:f>IF(OR(C193="yes",X193="corrected",COUNTIF(Z193:AL193,"major")&gt;0,COUNTIF(Z193:AL193,"blocker")&gt;0,OR(AO193="repair",AO193="segment",AO193="replace",AO193="block")),"yes","no")</x:f>
        <x:v>no</x:v>
      </x:c>
      <x:c r="AZ193" s="18" t="str">
        <x:f>IF(AND(V193="reviewed",W193&gt;=1,X193&lt;&gt;"",Y193&lt;&gt;"",COUNTA(Z193:AL193)=13,AM193&lt;&gt;"",AN193&lt;&gt;"",AO193&lt;&gt;"",AP193&lt;&gt;"",AQ193&lt;&gt;"",AR193&lt;&gt;"",AS193="I_listened_at_1x_and_completed_all_required_fields",AT193&lt;&gt;"",AW193="adjudicated",OR(AY193="no",AND(AU193&lt;&gt;"",AV193&lt;&gt;""))),"complete","incomplete")</x:f>
        <x:v>incomplete</x:v>
      </x:c>
      <x:c r="BA193" s="18" t="str">
        <x:f>IF(AZ193="complete","none","faltan campos humanos, adjudicación o segunda revisión")</x:f>
        <x:v>faltan campos humanos, adjudicación o segunda revisión</x:v>
      </x:c>
    </x:row>
    <x:row r="194" ht="36" customHeight="1">
      <x:c r="A194" s="15" t="n">
        <x:v>193</x:v>
      </x:c>
      <x:c r="B194" s="15" t="str">
        <x:v>P2-TECH</x:v>
      </x:c>
      <x:c r="C194" s="15" t="str">
        <x:v>no</x:v>
      </x:c>
      <x:c r="D194" s="15" t="str">
        <x:v>asset:toefl:set-15:part-12:repeat-3</x:v>
      </x:c>
      <x:c r="E194" s="15" t="str">
        <x:v>set-15</x:v>
      </x:c>
      <x:c r="F194" s="15" t="str">
        <x:v>Listen and Repeat</x:v>
      </x:c>
      <x:c r="G194" s="15" t="str">
        <x:v>/Users/josedavidduartesilva/Developer/idiomaswl/public/audio/toefl/set-15/repeat-3.mp3</x:v>
      </x:c>
      <x:c r="H194" s="19" t="n">
        <x:v>3.62</x:v>
      </x:c>
      <x:c r="I194" s="15" t="str">
        <x:v>P2</x:v>
      </x:c>
      <x:c r="J194" s="15" t="str">
        <x:v>100_percent_required_T08</x:v>
      </x:c>
      <x:c r="K194" s="15" t="str">
        <x:v>fail_actionable</x:v>
      </x:c>
      <x:c r="L194" s="15" t="str">
        <x:v>TECH-SIL-002</x:v>
      </x:c>
      <x:c r="M194" s="15" t="str">
        <x:v>TECH-PEAK-003</x:v>
      </x:c>
      <x:c r="N194" s="15" t="str">
        <x:v>review_edges_create_versioned_trim_variant</x:v>
      </x:c>
      <x:c r="O194" s="15" t="str">
        <x:v>source_exact_normalized_supported_pending_human</x:v>
      </x:c>
      <x:c r="P194" s="15" t="str">
        <x:v>TECH-T06-FAIL</x:v>
      </x:c>
      <x:c r="Q194" s="15" t="str">
        <x:v>The librarian helped the students find the books they needed.</x:v>
      </x:c>
      <x:c r="R194" s="15" t="str">
        <x:v>The librarian helped the students find the books they needed.</x:v>
      </x:c>
      <x:c r="S194" s="15" t="str">
        <x:v>none</x:v>
      </x:c>
      <x:c r="T194" s="15" t="str">
        <x:v>source_contract_preserved_subject_to_T08</x:v>
      </x:c>
      <x:c r="U194" s="15" t="str">
        <x:v>A_linguistic_conserve_candidate</x:v>
      </x:c>
      <x:c r="V194" s="16" t="str">
        <x:v>not_started</x:v>
      </x:c>
      <x:c r="W194" s="16"/>
      <x:c r="X194" s="16"/>
      <x:c r="Y194" s="16"/>
      <x:c r="Z194" s="16"/>
      <x:c r="AA194" s="16"/>
      <x:c r="AB194" s="16"/>
      <x:c r="AC194" s="16"/>
      <x:c r="AD194" s="16"/>
      <x:c r="AE194" s="16"/>
      <x:c r="AF194" s="16"/>
      <x:c r="AG194" s="16"/>
      <x:c r="AH194" s="16"/>
      <x:c r="AI194" s="16"/>
      <x:c r="AJ194" s="16"/>
      <x:c r="AK194" s="16"/>
      <x:c r="AL194" s="16"/>
      <x:c r="AM194" s="16"/>
      <x:c r="AN194" s="16"/>
      <x:c r="AO194" s="16"/>
      <x:c r="AP194" s="16"/>
      <x:c r="AQ194" s="16"/>
      <x:c r="AR194" s="16"/>
      <x:c r="AS194" s="16"/>
      <x:c r="AT194" s="20"/>
      <x:c r="AU194" s="16"/>
      <x:c r="AV194" s="16"/>
      <x:c r="AW194" s="16" t="str">
        <x:v>pending</x:v>
      </x:c>
      <x:c r="AX194" s="17" t="str">
        <x:v>blocked_not_validated</x:v>
      </x:c>
      <x:c r="AY194" s="18" t="str">
        <x:f>IF(OR(C194="yes",X194="corrected",COUNTIF(Z194:AL194,"major")&gt;0,COUNTIF(Z194:AL194,"blocker")&gt;0,OR(AO194="repair",AO194="segment",AO194="replace",AO194="block")),"yes","no")</x:f>
        <x:v>no</x:v>
      </x:c>
      <x:c r="AZ194" s="18" t="str">
        <x:f>IF(AND(V194="reviewed",W194&gt;=1,X194&lt;&gt;"",Y194&lt;&gt;"",COUNTA(Z194:AL194)=13,AM194&lt;&gt;"",AN194&lt;&gt;"",AO194&lt;&gt;"",AP194&lt;&gt;"",AQ194&lt;&gt;"",AR194&lt;&gt;"",AS194="I_listened_at_1x_and_completed_all_required_fields",AT194&lt;&gt;"",AW194="adjudicated",OR(AY194="no",AND(AU194&lt;&gt;"",AV194&lt;&gt;""))),"complete","incomplete")</x:f>
        <x:v>incomplete</x:v>
      </x:c>
      <x:c r="BA194" s="18" t="str">
        <x:f>IF(AZ194="complete","none","faltan campos humanos, adjudicación o segunda revisión")</x:f>
        <x:v>faltan campos humanos, adjudicación o segunda revisión</x:v>
      </x:c>
    </x:row>
    <x:row r="195" ht="36" customHeight="1">
      <x:c r="A195" s="15" t="n">
        <x:v>194</x:v>
      </x:c>
      <x:c r="B195" s="15" t="str">
        <x:v>P2-TECH</x:v>
      </x:c>
      <x:c r="C195" s="15" t="str">
        <x:v>no</x:v>
      </x:c>
      <x:c r="D195" s="15" t="str">
        <x:v>asset:toefl:set-15:part-12:repeat-5</x:v>
      </x:c>
      <x:c r="E195" s="15" t="str">
        <x:v>set-15</x:v>
      </x:c>
      <x:c r="F195" s="15" t="str">
        <x:v>Listen and Repeat</x:v>
      </x:c>
      <x:c r="G195" s="15" t="str">
        <x:v>/Users/josedavidduartesilva/Developer/idiomaswl/public/audio/toefl/set-15/repeat-5.mp3</x:v>
      </x:c>
      <x:c r="H195" s="19" t="n">
        <x:v>5.54</x:v>
      </x:c>
      <x:c r="I195" s="15" t="str">
        <x:v>P2</x:v>
      </x:c>
      <x:c r="J195" s="15" t="str">
        <x:v>100_percent_required_T08</x:v>
      </x:c>
      <x:c r="K195" s="15" t="str">
        <x:v>fail_actionable</x:v>
      </x:c>
      <x:c r="L195" s="15" t="str">
        <x:v>TECH-SIL-002</x:v>
      </x:c>
      <x:c r="M195" s="15" t="str">
        <x:v>TECH-PEAK-003</x:v>
      </x:c>
      <x:c r="N195" s="15" t="str">
        <x:v>review_edges_create_versioned_trim_variant</x:v>
      </x:c>
      <x:c r="O195" s="15" t="str">
        <x:v>source_exact_normalized_supported_pending_human</x:v>
      </x:c>
      <x:c r="P195" s="15" t="str">
        <x:v>TECH-T06-FAIL</x:v>
      </x:c>
      <x:c r="Q195" s="15" t="str">
        <x:v>Even though the recipe looked complicated, it turned out to be surprisingly easy to follow.</x:v>
      </x:c>
      <x:c r="R195" s="15" t="str">
        <x:v>Even though the recipe looked complicated, it turned out to be surprisingly easy to follow.</x:v>
      </x:c>
      <x:c r="S195" s="15" t="str">
        <x:v>none</x:v>
      </x:c>
      <x:c r="T195" s="15" t="str">
        <x:v>source_contract_preserved_subject_to_T08</x:v>
      </x:c>
      <x:c r="U195" s="15" t="str">
        <x:v>A_linguistic_conserve_candidate</x:v>
      </x:c>
      <x:c r="V195" s="16" t="str">
        <x:v>not_started</x:v>
      </x:c>
      <x:c r="W195" s="16"/>
      <x:c r="X195" s="16"/>
      <x:c r="Y195" s="16"/>
      <x:c r="Z195" s="16"/>
      <x:c r="AA195" s="16"/>
      <x:c r="AB195" s="16"/>
      <x:c r="AC195" s="16"/>
      <x:c r="AD195" s="16"/>
      <x:c r="AE195" s="16"/>
      <x:c r="AF195" s="16"/>
      <x:c r="AG195" s="16"/>
      <x:c r="AH195" s="16"/>
      <x:c r="AI195" s="16"/>
      <x:c r="AJ195" s="16"/>
      <x:c r="AK195" s="16"/>
      <x:c r="AL195" s="16"/>
      <x:c r="AM195" s="16"/>
      <x:c r="AN195" s="16"/>
      <x:c r="AO195" s="16"/>
      <x:c r="AP195" s="16"/>
      <x:c r="AQ195" s="16"/>
      <x:c r="AR195" s="16"/>
      <x:c r="AS195" s="16"/>
      <x:c r="AT195" s="20"/>
      <x:c r="AU195" s="16"/>
      <x:c r="AV195" s="16"/>
      <x:c r="AW195" s="16" t="str">
        <x:v>pending</x:v>
      </x:c>
      <x:c r="AX195" s="17" t="str">
        <x:v>blocked_not_validated</x:v>
      </x:c>
      <x:c r="AY195" s="18" t="str">
        <x:f>IF(OR(C195="yes",X195="corrected",COUNTIF(Z195:AL195,"major")&gt;0,COUNTIF(Z195:AL195,"blocker")&gt;0,OR(AO195="repair",AO195="segment",AO195="replace",AO195="block")),"yes","no")</x:f>
        <x:v>no</x:v>
      </x:c>
      <x:c r="AZ195" s="18" t="str">
        <x:f>IF(AND(V195="reviewed",W195&gt;=1,X195&lt;&gt;"",Y195&lt;&gt;"",COUNTA(Z195:AL195)=13,AM195&lt;&gt;"",AN195&lt;&gt;"",AO195&lt;&gt;"",AP195&lt;&gt;"",AQ195&lt;&gt;"",AR195&lt;&gt;"",AS195="I_listened_at_1x_and_completed_all_required_fields",AT195&lt;&gt;"",AW195="adjudicated",OR(AY195="no",AND(AU195&lt;&gt;"",AV195&lt;&gt;""))),"complete","incomplete")</x:f>
        <x:v>incomplete</x:v>
      </x:c>
      <x:c r="BA195" s="18" t="str">
        <x:f>IF(AZ195="complete","none","faltan campos humanos, adjudicación o segunda revisión")</x:f>
        <x:v>faltan campos humanos, adjudicación o segunda revisión</x:v>
      </x:c>
    </x:row>
    <x:row r="196" ht="36" customHeight="1">
      <x:c r="A196" s="15" t="n">
        <x:v>195</x:v>
      </x:c>
      <x:c r="B196" s="15" t="str">
        <x:v>P2-TECH</x:v>
      </x:c>
      <x:c r="C196" s="15" t="str">
        <x:v>no</x:v>
      </x:c>
      <x:c r="D196" s="15" t="str">
        <x:v>asset:toefl:set-16:part-12:repeat-1</x:v>
      </x:c>
      <x:c r="E196" s="15" t="str">
        <x:v>set-16</x:v>
      </x:c>
      <x:c r="F196" s="15" t="str">
        <x:v>Listen and Repeat</x:v>
      </x:c>
      <x:c r="G196" s="15" t="str">
        <x:v>/Users/josedavidduartesilva/Developer/idiomaswl/public/audio/toefl/set-16/repeat-1.mp3</x:v>
      </x:c>
      <x:c r="H196" s="19" t="n">
        <x:v>1.94</x:v>
      </x:c>
      <x:c r="I196" s="15" t="str">
        <x:v>P2</x:v>
      </x:c>
      <x:c r="J196" s="15" t="str">
        <x:v>100_percent_required_T08</x:v>
      </x:c>
      <x:c r="K196" s="15" t="str">
        <x:v>fail_actionable</x:v>
      </x:c>
      <x:c r="L196" s="15" t="str">
        <x:v>TECH-LDN-002</x:v>
      </x:c>
      <x:c r="M196" s="15" t="str">
        <x:v>none</x:v>
      </x:c>
      <x:c r="N196" s="15" t="str">
        <x:v>measure_gain_create_versioned_normalized_variant</x:v>
      </x:c>
      <x:c r="O196" s="15" t="str">
        <x:v>source_exact_normalized_supported_pending_human</x:v>
      </x:c>
      <x:c r="P196" s="15" t="str">
        <x:v>TECH-T06-FAIL</x:v>
      </x:c>
      <x:c r="Q196" s="15" t="str">
        <x:v>The market opens early.</x:v>
      </x:c>
      <x:c r="R196" s="15" t="str">
        <x:v>The market opens early.</x:v>
      </x:c>
      <x:c r="S196" s="15" t="str">
        <x:v>none</x:v>
      </x:c>
      <x:c r="T196" s="15" t="str">
        <x:v>source_contract_preserved_subject_to_T08</x:v>
      </x:c>
      <x:c r="U196" s="15" t="str">
        <x:v>A_linguistic_conserve_candidate</x:v>
      </x:c>
      <x:c r="V196" s="16" t="str">
        <x:v>not_started</x:v>
      </x:c>
      <x:c r="W196" s="16"/>
      <x:c r="X196" s="16"/>
      <x:c r="Y196" s="16"/>
      <x:c r="Z196" s="16"/>
      <x:c r="AA196" s="16"/>
      <x:c r="AB196" s="16"/>
      <x:c r="AC196" s="16"/>
      <x:c r="AD196" s="16"/>
      <x:c r="AE196" s="16"/>
      <x:c r="AF196" s="16"/>
      <x:c r="AG196" s="16"/>
      <x:c r="AH196" s="16"/>
      <x:c r="AI196" s="16"/>
      <x:c r="AJ196" s="16"/>
      <x:c r="AK196" s="16"/>
      <x:c r="AL196" s="16"/>
      <x:c r="AM196" s="16"/>
      <x:c r="AN196" s="16"/>
      <x:c r="AO196" s="16"/>
      <x:c r="AP196" s="16"/>
      <x:c r="AQ196" s="16"/>
      <x:c r="AR196" s="16"/>
      <x:c r="AS196" s="16"/>
      <x:c r="AT196" s="20"/>
      <x:c r="AU196" s="16"/>
      <x:c r="AV196" s="16"/>
      <x:c r="AW196" s="16" t="str">
        <x:v>pending</x:v>
      </x:c>
      <x:c r="AX196" s="17" t="str">
        <x:v>blocked_not_validated</x:v>
      </x:c>
      <x:c r="AY196" s="18" t="str">
        <x:f>IF(OR(C196="yes",X196="corrected",COUNTIF(Z196:AL196,"major")&gt;0,COUNTIF(Z196:AL196,"blocker")&gt;0,OR(AO196="repair",AO196="segment",AO196="replace",AO196="block")),"yes","no")</x:f>
        <x:v>no</x:v>
      </x:c>
      <x:c r="AZ196" s="18" t="str">
        <x:f>IF(AND(V196="reviewed",W196&gt;=1,X196&lt;&gt;"",Y196&lt;&gt;"",COUNTA(Z196:AL196)=13,AM196&lt;&gt;"",AN196&lt;&gt;"",AO196&lt;&gt;"",AP196&lt;&gt;"",AQ196&lt;&gt;"",AR196&lt;&gt;"",AS196="I_listened_at_1x_and_completed_all_required_fields",AT196&lt;&gt;"",AW196="adjudicated",OR(AY196="no",AND(AU196&lt;&gt;"",AV196&lt;&gt;""))),"complete","incomplete")</x:f>
        <x:v>incomplete</x:v>
      </x:c>
      <x:c r="BA196" s="18" t="str">
        <x:f>IF(AZ196="complete","none","faltan campos humanos, adjudicación o segunda revisión")</x:f>
        <x:v>faltan campos humanos, adjudicación o segunda revisión</x:v>
      </x:c>
    </x:row>
    <x:row r="197" ht="36" customHeight="1">
      <x:c r="A197" s="15" t="n">
        <x:v>196</x:v>
      </x:c>
      <x:c r="B197" s="15" t="str">
        <x:v>P2-TECH</x:v>
      </x:c>
      <x:c r="C197" s="15" t="str">
        <x:v>no</x:v>
      </x:c>
      <x:c r="D197" s="15" t="str">
        <x:v>asset:toefl:set-17:part-12:repeat-1</x:v>
      </x:c>
      <x:c r="E197" s="15" t="str">
        <x:v>set-17</x:v>
      </x:c>
      <x:c r="F197" s="15" t="str">
        <x:v>Listen and Repeat</x:v>
      </x:c>
      <x:c r="G197" s="15" t="str">
        <x:v>/Users/josedavidduartesilva/Developer/idiomaswl/public/audio/toefl/set-17/repeat-1.mp3</x:v>
      </x:c>
      <x:c r="H197" s="19" t="n">
        <x:v>2.1</x:v>
      </x:c>
      <x:c r="I197" s="15" t="str">
        <x:v>P2</x:v>
      </x:c>
      <x:c r="J197" s="15" t="str">
        <x:v>100_percent_required_T08</x:v>
      </x:c>
      <x:c r="K197" s="15" t="str">
        <x:v>fail_actionable</x:v>
      </x:c>
      <x:c r="L197" s="15" t="str">
        <x:v>TECH-LDN-002</x:v>
      </x:c>
      <x:c r="M197" s="15" t="str">
        <x:v>none</x:v>
      </x:c>
      <x:c r="N197" s="15" t="str">
        <x:v>measure_gain_create_versioned_normalized_variant</x:v>
      </x:c>
      <x:c r="O197" s="15" t="str">
        <x:v>source_exact_normalized_supported_pending_human</x:v>
      </x:c>
      <x:c r="P197" s="15" t="str">
        <x:v>TECH-T06-FAIL</x:v>
      </x:c>
      <x:c r="Q197" s="15" t="str">
        <x:v>The cafe is around the corner.</x:v>
      </x:c>
      <x:c r="R197" s="15" t="str">
        <x:v>The cafe is around the corner.</x:v>
      </x:c>
      <x:c r="S197" s="15" t="str">
        <x:v>none</x:v>
      </x:c>
      <x:c r="T197" s="15" t="str">
        <x:v>source_contract_preserved_subject_to_T08</x:v>
      </x:c>
      <x:c r="U197" s="15" t="str">
        <x:v>A_linguistic_conserve_candidate</x:v>
      </x:c>
      <x:c r="V197" s="16" t="str">
        <x:v>not_started</x:v>
      </x:c>
      <x:c r="W197" s="16"/>
      <x:c r="X197" s="16"/>
      <x:c r="Y197" s="16"/>
      <x:c r="Z197" s="16"/>
      <x:c r="AA197" s="16"/>
      <x:c r="AB197" s="16"/>
      <x:c r="AC197" s="16"/>
      <x:c r="AD197" s="16"/>
      <x:c r="AE197" s="16"/>
      <x:c r="AF197" s="16"/>
      <x:c r="AG197" s="16"/>
      <x:c r="AH197" s="16"/>
      <x:c r="AI197" s="16"/>
      <x:c r="AJ197" s="16"/>
      <x:c r="AK197" s="16"/>
      <x:c r="AL197" s="16"/>
      <x:c r="AM197" s="16"/>
      <x:c r="AN197" s="16"/>
      <x:c r="AO197" s="16"/>
      <x:c r="AP197" s="16"/>
      <x:c r="AQ197" s="16"/>
      <x:c r="AR197" s="16"/>
      <x:c r="AS197" s="16"/>
      <x:c r="AT197" s="20"/>
      <x:c r="AU197" s="16"/>
      <x:c r="AV197" s="16"/>
      <x:c r="AW197" s="16" t="str">
        <x:v>pending</x:v>
      </x:c>
      <x:c r="AX197" s="17" t="str">
        <x:v>blocked_not_validated</x:v>
      </x:c>
      <x:c r="AY197" s="18" t="str">
        <x:f>IF(OR(C197="yes",X197="corrected",COUNTIF(Z197:AL197,"major")&gt;0,COUNTIF(Z197:AL197,"blocker")&gt;0,OR(AO197="repair",AO197="segment",AO197="replace",AO197="block")),"yes","no")</x:f>
        <x:v>no</x:v>
      </x:c>
      <x:c r="AZ197" s="18" t="str">
        <x:f>IF(AND(V197="reviewed",W197&gt;=1,X197&lt;&gt;"",Y197&lt;&gt;"",COUNTA(Z197:AL197)=13,AM197&lt;&gt;"",AN197&lt;&gt;"",AO197&lt;&gt;"",AP197&lt;&gt;"",AQ197&lt;&gt;"",AR197&lt;&gt;"",AS197="I_listened_at_1x_and_completed_all_required_fields",AT197&lt;&gt;"",AW197="adjudicated",OR(AY197="no",AND(AU197&lt;&gt;"",AV197&lt;&gt;""))),"complete","incomplete")</x:f>
        <x:v>incomplete</x:v>
      </x:c>
      <x:c r="BA197" s="18" t="str">
        <x:f>IF(AZ197="complete","none","faltan campos humanos, adjudicación o segunda revisión")</x:f>
        <x:v>faltan campos humanos, adjudicación o segunda revisión</x:v>
      </x:c>
    </x:row>
    <x:row r="198" ht="36" customHeight="1">
      <x:c r="A198" s="15" t="n">
        <x:v>197</x:v>
      </x:c>
      <x:c r="B198" s="15" t="str">
        <x:v>P2-TECH</x:v>
      </x:c>
      <x:c r="C198" s="15" t="str">
        <x:v>no</x:v>
      </x:c>
      <x:c r="D198" s="15" t="str">
        <x:v>asset:toefl:set-17:part-12:repeat-3</x:v>
      </x:c>
      <x:c r="E198" s="15" t="str">
        <x:v>set-17</x:v>
      </x:c>
      <x:c r="F198" s="15" t="str">
        <x:v>Listen and Repeat</x:v>
      </x:c>
      <x:c r="G198" s="15" t="str">
        <x:v>/Users/josedavidduartesilva/Developer/idiomaswl/public/audio/toefl/set-17/repeat-3.mp3</x:v>
      </x:c>
      <x:c r="H198" s="19" t="n">
        <x:v>3.94</x:v>
      </x:c>
      <x:c r="I198" s="15" t="str">
        <x:v>P2</x:v>
      </x:c>
      <x:c r="J198" s="15" t="str">
        <x:v>100_percent_required_T08</x:v>
      </x:c>
      <x:c r="K198" s="15" t="str">
        <x:v>fail_actionable</x:v>
      </x:c>
      <x:c r="L198" s="15" t="str">
        <x:v>TECH-SIL-002</x:v>
      </x:c>
      <x:c r="M198" s="15" t="str">
        <x:v>none</x:v>
      </x:c>
      <x:c r="N198" s="15" t="str">
        <x:v>review_edges_create_versioned_trim_variant</x:v>
      </x:c>
      <x:c r="O198" s="15" t="str">
        <x:v>source_exact_normalized_supported_pending_human</x:v>
      </x:c>
      <x:c r="P198" s="15" t="str">
        <x:v>TECH-T06-FAIL</x:v>
      </x:c>
      <x:c r="Q198" s="15" t="str">
        <x:v>The museum offered free entry to students on weekdays.</x:v>
      </x:c>
      <x:c r="R198" s="15" t="str">
        <x:v>The museum offered free entry to students on weekdays.</x:v>
      </x:c>
      <x:c r="S198" s="15" t="str">
        <x:v>none</x:v>
      </x:c>
      <x:c r="T198" s="15" t="str">
        <x:v>source_contract_preserved_subject_to_T08</x:v>
      </x:c>
      <x:c r="U198" s="15" t="str">
        <x:v>A_linguistic_conserve_candidate</x:v>
      </x:c>
      <x:c r="V198" s="16" t="str">
        <x:v>not_started</x:v>
      </x:c>
      <x:c r="W198" s="16"/>
      <x:c r="X198" s="16"/>
      <x:c r="Y198" s="16"/>
      <x:c r="Z198" s="16"/>
      <x:c r="AA198" s="16"/>
      <x:c r="AB198" s="16"/>
      <x:c r="AC198" s="16"/>
      <x:c r="AD198" s="16"/>
      <x:c r="AE198" s="16"/>
      <x:c r="AF198" s="16"/>
      <x:c r="AG198" s="16"/>
      <x:c r="AH198" s="16"/>
      <x:c r="AI198" s="16"/>
      <x:c r="AJ198" s="16"/>
      <x:c r="AK198" s="16"/>
      <x:c r="AL198" s="16"/>
      <x:c r="AM198" s="16"/>
      <x:c r="AN198" s="16"/>
      <x:c r="AO198" s="16"/>
      <x:c r="AP198" s="16"/>
      <x:c r="AQ198" s="16"/>
      <x:c r="AR198" s="16"/>
      <x:c r="AS198" s="16"/>
      <x:c r="AT198" s="20"/>
      <x:c r="AU198" s="16"/>
      <x:c r="AV198" s="16"/>
      <x:c r="AW198" s="16" t="str">
        <x:v>pending</x:v>
      </x:c>
      <x:c r="AX198" s="17" t="str">
        <x:v>blocked_not_validated</x:v>
      </x:c>
      <x:c r="AY198" s="18" t="str">
        <x:f>IF(OR(C198="yes",X198="corrected",COUNTIF(Z198:AL198,"major")&gt;0,COUNTIF(Z198:AL198,"blocker")&gt;0,OR(AO198="repair",AO198="segment",AO198="replace",AO198="block")),"yes","no")</x:f>
        <x:v>no</x:v>
      </x:c>
      <x:c r="AZ198" s="18" t="str">
        <x:f>IF(AND(V198="reviewed",W198&gt;=1,X198&lt;&gt;"",Y198&lt;&gt;"",COUNTA(Z198:AL198)=13,AM198&lt;&gt;"",AN198&lt;&gt;"",AO198&lt;&gt;"",AP198&lt;&gt;"",AQ198&lt;&gt;"",AR198&lt;&gt;"",AS198="I_listened_at_1x_and_completed_all_required_fields",AT198&lt;&gt;"",AW198="adjudicated",OR(AY198="no",AND(AU198&lt;&gt;"",AV198&lt;&gt;""))),"complete","incomplete")</x:f>
        <x:v>incomplete</x:v>
      </x:c>
      <x:c r="BA198" s="18" t="str">
        <x:f>IF(AZ198="complete","none","faltan campos humanos, adjudicación o segunda revisión")</x:f>
        <x:v>faltan campos humanos, adjudicación o segunda revisión</x:v>
      </x:c>
    </x:row>
    <x:row r="199" ht="36" customHeight="1">
      <x:c r="A199" s="15" t="n">
        <x:v>198</x:v>
      </x:c>
      <x:c r="B199" s="15" t="str">
        <x:v>P2-TECH</x:v>
      </x:c>
      <x:c r="C199" s="15" t="str">
        <x:v>no</x:v>
      </x:c>
      <x:c r="D199" s="15" t="str">
        <x:v>asset:toefl:set-19:part-12:repeat-2</x:v>
      </x:c>
      <x:c r="E199" s="15" t="str">
        <x:v>set-19</x:v>
      </x:c>
      <x:c r="F199" s="15" t="str">
        <x:v>Listen and Repeat</x:v>
      </x:c>
      <x:c r="G199" s="15" t="str">
        <x:v>/Users/josedavidduartesilva/Developer/idiomaswl/public/audio/toefl/set-19/repeat-2.mp3</x:v>
      </x:c>
      <x:c r="H199" s="19" t="n">
        <x:v>3.22</x:v>
      </x:c>
      <x:c r="I199" s="15" t="str">
        <x:v>P2</x:v>
      </x:c>
      <x:c r="J199" s="15" t="str">
        <x:v>100_percent_required_T08</x:v>
      </x:c>
      <x:c r="K199" s="15" t="str">
        <x:v>fail_actionable</x:v>
      </x:c>
      <x:c r="L199" s="15" t="str">
        <x:v>TECH-SIL-002</x:v>
      </x:c>
      <x:c r="M199" s="15" t="str">
        <x:v>TECH-PEAK-003</x:v>
      </x:c>
      <x:c r="N199" s="15" t="str">
        <x:v>review_edges_create_versioned_trim_variant</x:v>
      </x:c>
      <x:c r="O199" s="15" t="str">
        <x:v>source_exact_normalized_supported_pending_human</x:v>
      </x:c>
      <x:c r="P199" s="15" t="str">
        <x:v>TECH-T06-FAIL</x:v>
      </x:c>
      <x:c r="Q199" s="15" t="str">
        <x:v>He packed his bag and left for the airport.</x:v>
      </x:c>
      <x:c r="R199" s="15" t="str">
        <x:v>He packed his bag and left for the airport.</x:v>
      </x:c>
      <x:c r="S199" s="15" t="str">
        <x:v>none</x:v>
      </x:c>
      <x:c r="T199" s="15" t="str">
        <x:v>source_contract_preserved_subject_to_T08</x:v>
      </x:c>
      <x:c r="U199" s="15" t="str">
        <x:v>A_linguistic_conserve_candidate</x:v>
      </x:c>
      <x:c r="V199" s="16" t="str">
        <x:v>not_started</x:v>
      </x:c>
      <x:c r="W199" s="16"/>
      <x:c r="X199" s="16"/>
      <x:c r="Y199" s="16"/>
      <x:c r="Z199" s="16"/>
      <x:c r="AA199" s="16"/>
      <x:c r="AB199" s="16"/>
      <x:c r="AC199" s="16"/>
      <x:c r="AD199" s="16"/>
      <x:c r="AE199" s="16"/>
      <x:c r="AF199" s="16"/>
      <x:c r="AG199" s="16"/>
      <x:c r="AH199" s="16"/>
      <x:c r="AI199" s="16"/>
      <x:c r="AJ199" s="16"/>
      <x:c r="AK199" s="16"/>
      <x:c r="AL199" s="16"/>
      <x:c r="AM199" s="16"/>
      <x:c r="AN199" s="16"/>
      <x:c r="AO199" s="16"/>
      <x:c r="AP199" s="16"/>
      <x:c r="AQ199" s="16"/>
      <x:c r="AR199" s="16"/>
      <x:c r="AS199" s="16"/>
      <x:c r="AT199" s="20"/>
      <x:c r="AU199" s="16"/>
      <x:c r="AV199" s="16"/>
      <x:c r="AW199" s="16" t="str">
        <x:v>pending</x:v>
      </x:c>
      <x:c r="AX199" s="17" t="str">
        <x:v>blocked_not_validated</x:v>
      </x:c>
      <x:c r="AY199" s="18" t="str">
        <x:f>IF(OR(C199="yes",X199="corrected",COUNTIF(Z199:AL199,"major")&gt;0,COUNTIF(Z199:AL199,"blocker")&gt;0,OR(AO199="repair",AO199="segment",AO199="replace",AO199="block")),"yes","no")</x:f>
        <x:v>no</x:v>
      </x:c>
      <x:c r="AZ199" s="18" t="str">
        <x:f>IF(AND(V199="reviewed",W199&gt;=1,X199&lt;&gt;"",Y199&lt;&gt;"",COUNTA(Z199:AL199)=13,AM199&lt;&gt;"",AN199&lt;&gt;"",AO199&lt;&gt;"",AP199&lt;&gt;"",AQ199&lt;&gt;"",AR199&lt;&gt;"",AS199="I_listened_at_1x_and_completed_all_required_fields",AT199&lt;&gt;"",AW199="adjudicated",OR(AY199="no",AND(AU199&lt;&gt;"",AV199&lt;&gt;""))),"complete","incomplete")</x:f>
        <x:v>incomplete</x:v>
      </x:c>
      <x:c r="BA199" s="18" t="str">
        <x:f>IF(AZ199="complete","none","faltan campos humanos, adjudicación o segunda revisión")</x:f>
        <x:v>faltan campos humanos, adjudicación o segunda revisión</x:v>
      </x:c>
    </x:row>
    <x:row r="200" ht="36" customHeight="1">
      <x:c r="A200" s="15" t="n">
        <x:v>199</x:v>
      </x:c>
      <x:c r="B200" s="15" t="str">
        <x:v>P2-TECH</x:v>
      </x:c>
      <x:c r="C200" s="15" t="str">
        <x:v>no</x:v>
      </x:c>
      <x:c r="D200" s="15" t="str">
        <x:v>asset:toefl:set-20:part-12:repeat-3</x:v>
      </x:c>
      <x:c r="E200" s="15" t="str">
        <x:v>set-20</x:v>
      </x:c>
      <x:c r="F200" s="15" t="str">
        <x:v>Listen and Repeat</x:v>
      </x:c>
      <x:c r="G200" s="15" t="str">
        <x:v>/Users/josedavidduartesilva/Developer/idiomaswl/public/audio/toefl/set-20/repeat-3.mp3</x:v>
      </x:c>
      <x:c r="H200" s="19" t="n">
        <x:v>4.42</x:v>
      </x:c>
      <x:c r="I200" s="15" t="str">
        <x:v>P2</x:v>
      </x:c>
      <x:c r="J200" s="15" t="str">
        <x:v>100_percent_required_T08</x:v>
      </x:c>
      <x:c r="K200" s="15" t="str">
        <x:v>fail_actionable</x:v>
      </x:c>
      <x:c r="L200" s="15" t="str">
        <x:v>TECH-SIL-002</x:v>
      </x:c>
      <x:c r="M200" s="15" t="str">
        <x:v>none</x:v>
      </x:c>
      <x:c r="N200" s="15" t="str">
        <x:v>review_edges_create_versioned_trim_variant</x:v>
      </x:c>
      <x:c r="O200" s="15" t="str">
        <x:v>source_exact_normalized_supported_pending_human</x:v>
      </x:c>
      <x:c r="P200" s="15" t="str">
        <x:v>TECH-T06-FAIL</x:v>
      </x:c>
      <x:c r="Q200" s="15" t="str">
        <x:v>The gardener planted rows of vegetables behind the house.</x:v>
      </x:c>
      <x:c r="R200" s="15" t="str">
        <x:v>The gardener planted rows of vegetables behind the house.</x:v>
      </x:c>
      <x:c r="S200" s="15" t="str">
        <x:v>none</x:v>
      </x:c>
      <x:c r="T200" s="15" t="str">
        <x:v>source_contract_preserved_subject_to_T08</x:v>
      </x:c>
      <x:c r="U200" s="15" t="str">
        <x:v>A_linguistic_conserve_candidate</x:v>
      </x:c>
      <x:c r="V200" s="16" t="str">
        <x:v>not_started</x:v>
      </x:c>
      <x:c r="W200" s="16"/>
      <x:c r="X200" s="16"/>
      <x:c r="Y200" s="16"/>
      <x:c r="Z200" s="16"/>
      <x:c r="AA200" s="16"/>
      <x:c r="AB200" s="16"/>
      <x:c r="AC200" s="16"/>
      <x:c r="AD200" s="16"/>
      <x:c r="AE200" s="16"/>
      <x:c r="AF200" s="16"/>
      <x:c r="AG200" s="16"/>
      <x:c r="AH200" s="16"/>
      <x:c r="AI200" s="16"/>
      <x:c r="AJ200" s="16"/>
      <x:c r="AK200" s="16"/>
      <x:c r="AL200" s="16"/>
      <x:c r="AM200" s="16"/>
      <x:c r="AN200" s="16"/>
      <x:c r="AO200" s="16"/>
      <x:c r="AP200" s="16"/>
      <x:c r="AQ200" s="16"/>
      <x:c r="AR200" s="16"/>
      <x:c r="AS200" s="16"/>
      <x:c r="AT200" s="20"/>
      <x:c r="AU200" s="16"/>
      <x:c r="AV200" s="16"/>
      <x:c r="AW200" s="16" t="str">
        <x:v>pending</x:v>
      </x:c>
      <x:c r="AX200" s="17" t="str">
        <x:v>blocked_not_validated</x:v>
      </x:c>
      <x:c r="AY200" s="18" t="str">
        <x:f>IF(OR(C200="yes",X200="corrected",COUNTIF(Z200:AL200,"major")&gt;0,COUNTIF(Z200:AL200,"blocker")&gt;0,OR(AO200="repair",AO200="segment",AO200="replace",AO200="block")),"yes","no")</x:f>
        <x:v>no</x:v>
      </x:c>
      <x:c r="AZ200" s="18" t="str">
        <x:f>IF(AND(V200="reviewed",W200&gt;=1,X200&lt;&gt;"",Y200&lt;&gt;"",COUNTA(Z200:AL200)=13,AM200&lt;&gt;"",AN200&lt;&gt;"",AO200&lt;&gt;"",AP200&lt;&gt;"",AQ200&lt;&gt;"",AR200&lt;&gt;"",AS200="I_listened_at_1x_and_completed_all_required_fields",AT200&lt;&gt;"",AW200="adjudicated",OR(AY200="no",AND(AU200&lt;&gt;"",AV200&lt;&gt;""))),"complete","incomplete")</x:f>
        <x:v>incomplete</x:v>
      </x:c>
      <x:c r="BA200" s="18" t="str">
        <x:f>IF(AZ200="complete","none","faltan campos humanos, adjudicación o segunda revisión")</x:f>
        <x:v>faltan campos humanos, adjudicación o segunda revisión</x:v>
      </x:c>
    </x:row>
    <x:row r="201" ht="36" customHeight="1">
      <x:c r="A201" s="15" t="n">
        <x:v>200</x:v>
      </x:c>
      <x:c r="B201" s="15" t="str">
        <x:v>P3-SAMPLE</x:v>
      </x:c>
      <x:c r="C201" s="15" t="str">
        <x:v>no</x:v>
      </x:c>
      <x:c r="D201" s="15" t="str">
        <x:v>asset:toefl:set-2:part-12:repeat-3</x:v>
      </x:c>
      <x:c r="E201" s="15" t="str">
        <x:v>set-2</x:v>
      </x:c>
      <x:c r="F201" s="15" t="str">
        <x:v>Listen and Repeat</x:v>
      </x:c>
      <x:c r="G201" s="15" t="str">
        <x:v>/Users/josedavidduartesilva/Developer/idiomaswl/public/audio/toefl/set-2/repeat-3.mp3</x:v>
      </x:c>
      <x:c r="H201" s="19" t="n">
        <x:v>3.78</x:v>
      </x:c>
      <x:c r="I201" s="15" t="str">
        <x:v>P3</x:v>
      </x:c>
      <x:c r="J201" s="15" t="str">
        <x:v>stratified_sample_T08</x:v>
      </x:c>
      <x:c r="K201" s="15" t="str">
        <x:v>pass_with_actionable_warning</x:v>
      </x:c>
      <x:c r="L201" s="15" t="str">
        <x:v>none</x:v>
      </x:c>
      <x:c r="M201" s="15" t="str">
        <x:v>TECH-PEAK-003</x:v>
      </x:c>
      <x:c r="N201" s="15" t="str">
        <x:v>review_warning_in_T08_before_conserve</x:v>
      </x:c>
      <x:c r="O201" s="15" t="str">
        <x:v>source_exact_normalized_supported_pending_human</x:v>
      </x:c>
      <x:c r="P201" s="15" t="str">
        <x:v>stratified_human_confirmation</x:v>
      </x:c>
      <x:c r="Q201" s="15" t="str">
        <x:v>The company offered discounts to its regular customers.</x:v>
      </x:c>
      <x:c r="R201" s="15" t="str">
        <x:v>The company offered discounts to its regular customers.</x:v>
      </x:c>
      <x:c r="S201" s="15" t="str">
        <x:v>none</x:v>
      </x:c>
      <x:c r="T201" s="15" t="str">
        <x:v>source_contract_preserved_subject_to_T08</x:v>
      </x:c>
      <x:c r="U201" s="15" t="str">
        <x:v>A_linguistic_conserve_candidate</x:v>
      </x:c>
      <x:c r="V201" s="16" t="str">
        <x:v>not_started</x:v>
      </x:c>
      <x:c r="W201" s="16"/>
      <x:c r="X201" s="16"/>
      <x:c r="Y201" s="16"/>
      <x:c r="Z201" s="16"/>
      <x:c r="AA201" s="16"/>
      <x:c r="AB201" s="16"/>
      <x:c r="AC201" s="16"/>
      <x:c r="AD201" s="16"/>
      <x:c r="AE201" s="16"/>
      <x:c r="AF201" s="16"/>
      <x:c r="AG201" s="16"/>
      <x:c r="AH201" s="16"/>
      <x:c r="AI201" s="16"/>
      <x:c r="AJ201" s="16"/>
      <x:c r="AK201" s="16"/>
      <x:c r="AL201" s="16"/>
      <x:c r="AM201" s="16"/>
      <x:c r="AN201" s="16"/>
      <x:c r="AO201" s="16"/>
      <x:c r="AP201" s="16"/>
      <x:c r="AQ201" s="16"/>
      <x:c r="AR201" s="16"/>
      <x:c r="AS201" s="16"/>
      <x:c r="AT201" s="20"/>
      <x:c r="AU201" s="16"/>
      <x:c r="AV201" s="16"/>
      <x:c r="AW201" s="16" t="str">
        <x:v>pending</x:v>
      </x:c>
      <x:c r="AX201" s="17" t="str">
        <x:v>blocked_not_validated</x:v>
      </x:c>
      <x:c r="AY201" s="18" t="str">
        <x:f>IF(OR(C201="yes",X201="corrected",COUNTIF(Z201:AL201,"major")&gt;0,COUNTIF(Z201:AL201,"blocker")&gt;0,OR(AO201="repair",AO201="segment",AO201="replace",AO201="block")),"yes","no")</x:f>
        <x:v>no</x:v>
      </x:c>
      <x:c r="AZ201" s="18" t="str">
        <x:f>IF(AND(V201="reviewed",W201&gt;=1,X201&lt;&gt;"",Y201&lt;&gt;"",COUNTA(Z201:AL201)=13,AM201&lt;&gt;"",AN201&lt;&gt;"",AO201&lt;&gt;"",AP201&lt;&gt;"",AQ201&lt;&gt;"",AR201&lt;&gt;"",AS201="I_listened_at_1x_and_completed_all_required_fields",AT201&lt;&gt;"",AW201="adjudicated",OR(AY201="no",AND(AU201&lt;&gt;"",AV201&lt;&gt;""))),"complete","incomplete")</x:f>
        <x:v>incomplete</x:v>
      </x:c>
      <x:c r="BA201" s="18" t="str">
        <x:f>IF(AZ201="complete","none","faltan campos humanos, adjudicación o segunda revisión")</x:f>
        <x:v>faltan campos humanos, adjudicación o segunda revisión</x:v>
      </x:c>
    </x:row>
    <x:row r="202" ht="36" customHeight="1">
      <x:c r="A202" s="15" t="n">
        <x:v>201</x:v>
      </x:c>
      <x:c r="B202" s="15" t="str">
        <x:v>P3-SAMPLE</x:v>
      </x:c>
      <x:c r="C202" s="15" t="str">
        <x:v>no</x:v>
      </x:c>
      <x:c r="D202" s="15" t="str">
        <x:v>asset:toefl:set-2:part-12:repeat-4</x:v>
      </x:c>
      <x:c r="E202" s="15" t="str">
        <x:v>set-2</x:v>
      </x:c>
      <x:c r="F202" s="15" t="str">
        <x:v>Listen and Repeat</x:v>
      </x:c>
      <x:c r="G202" s="15" t="str">
        <x:v>/Users/josedavidduartesilva/Developer/idiomaswl/public/audio/toefl/set-2/repeat-4.mp3</x:v>
      </x:c>
      <x:c r="H202" s="19" t="n">
        <x:v>4.82</x:v>
      </x:c>
      <x:c r="I202" s="15" t="str">
        <x:v>P3</x:v>
      </x:c>
      <x:c r="J202" s="15" t="str">
        <x:v>stratified_sample_T08</x:v>
      </x:c>
      <x:c r="K202" s="15" t="str">
        <x:v>pass_with_actionable_warning</x:v>
      </x:c>
      <x:c r="L202" s="15" t="str">
        <x:v>none</x:v>
      </x:c>
      <x:c r="M202" s="15" t="str">
        <x:v>TECH-LDN-003</x:v>
      </x:c>
      <x:c r="N202" s="15" t="str">
        <x:v>review_warning_in_T08_before_conserve</x:v>
      </x:c>
      <x:c r="O202" s="15" t="str">
        <x:v>source_exact_normalized_supported_pending_human</x:v>
      </x:c>
      <x:c r="P202" s="15" t="str">
        <x:v>stratified_human_confirmation</x:v>
      </x:c>
      <x:c r="Q202" s="15" t="str">
        <x:v>The guide explained that the castle had been built over five hundred years ago.</x:v>
      </x:c>
      <x:c r="R202" s="15" t="str">
        <x:v>The guide explained that the castle had been built over 500 years ago.</x:v>
      </x:c>
      <x:c r="S202" s="15" t="str">
        <x:v>none</x:v>
      </x:c>
      <x:c r="T202" s="15" t="str">
        <x:v>source_contract_preserved_subject_to_T08</x:v>
      </x:c>
      <x:c r="U202" s="15" t="str">
        <x:v>A_linguistic_conserve_candidate</x:v>
      </x:c>
      <x:c r="V202" s="16" t="str">
        <x:v>not_started</x:v>
      </x:c>
      <x:c r="W202" s="16"/>
      <x:c r="X202" s="16"/>
      <x:c r="Y202" s="16"/>
      <x:c r="Z202" s="16"/>
      <x:c r="AA202" s="16"/>
      <x:c r="AB202" s="16"/>
      <x:c r="AC202" s="16"/>
      <x:c r="AD202" s="16"/>
      <x:c r="AE202" s="16"/>
      <x:c r="AF202" s="16"/>
      <x:c r="AG202" s="16"/>
      <x:c r="AH202" s="16"/>
      <x:c r="AI202" s="16"/>
      <x:c r="AJ202" s="16"/>
      <x:c r="AK202" s="16"/>
      <x:c r="AL202" s="16"/>
      <x:c r="AM202" s="16"/>
      <x:c r="AN202" s="16"/>
      <x:c r="AO202" s="16"/>
      <x:c r="AP202" s="16"/>
      <x:c r="AQ202" s="16"/>
      <x:c r="AR202" s="16"/>
      <x:c r="AS202" s="16"/>
      <x:c r="AT202" s="20"/>
      <x:c r="AU202" s="16"/>
      <x:c r="AV202" s="16"/>
      <x:c r="AW202" s="16" t="str">
        <x:v>pending</x:v>
      </x:c>
      <x:c r="AX202" s="17" t="str">
        <x:v>blocked_not_validated</x:v>
      </x:c>
      <x:c r="AY202" s="18" t="str">
        <x:f>IF(OR(C202="yes",X202="corrected",COUNTIF(Z202:AL202,"major")&gt;0,COUNTIF(Z202:AL202,"blocker")&gt;0,OR(AO202="repair",AO202="segment",AO202="replace",AO202="block")),"yes","no")</x:f>
        <x:v>no</x:v>
      </x:c>
      <x:c r="AZ202" s="18" t="str">
        <x:f>IF(AND(V202="reviewed",W202&gt;=1,X202&lt;&gt;"",Y202&lt;&gt;"",COUNTA(Z202:AL202)=13,AM202&lt;&gt;"",AN202&lt;&gt;"",AO202&lt;&gt;"",AP202&lt;&gt;"",AQ202&lt;&gt;"",AR202&lt;&gt;"",AS202="I_listened_at_1x_and_completed_all_required_fields",AT202&lt;&gt;"",AW202="adjudicated",OR(AY202="no",AND(AU202&lt;&gt;"",AV202&lt;&gt;""))),"complete","incomplete")</x:f>
        <x:v>incomplete</x:v>
      </x:c>
      <x:c r="BA202" s="18" t="str">
        <x:f>IF(AZ202="complete","none","faltan campos humanos, adjudicación o segunda revisión")</x:f>
        <x:v>faltan campos humanos, adjudicación o segunda revisión</x:v>
      </x:c>
    </x:row>
    <x:row r="203" ht="36" customHeight="1">
      <x:c r="A203" s="15" t="n">
        <x:v>202</x:v>
      </x:c>
      <x:c r="B203" s="15" t="str">
        <x:v>P3-SAMPLE</x:v>
      </x:c>
      <x:c r="C203" s="15" t="str">
        <x:v>no</x:v>
      </x:c>
      <x:c r="D203" s="15" t="str">
        <x:v>asset:toefl:set-2:part-12:repeat-5</x:v>
      </x:c>
      <x:c r="E203" s="15" t="str">
        <x:v>set-2</x:v>
      </x:c>
      <x:c r="F203" s="15" t="str">
        <x:v>Listen and Repeat</x:v>
      </x:c>
      <x:c r="G203" s="15" t="str">
        <x:v>/Users/josedavidduartesilva/Developer/idiomaswl/public/audio/toefl/set-2/repeat-5.mp3</x:v>
      </x:c>
      <x:c r="H203" s="19" t="n">
        <x:v>5.22</x:v>
      </x:c>
      <x:c r="I203" s="15" t="str">
        <x:v>P3</x:v>
      </x:c>
      <x:c r="J203" s="15" t="str">
        <x:v>stratified_sample_T08</x:v>
      </x:c>
      <x:c r="K203" s="15" t="str">
        <x:v>pass_with_actionable_warning</x:v>
      </x:c>
      <x:c r="L203" s="15" t="str">
        <x:v>none</x:v>
      </x:c>
      <x:c r="M203" s="15" t="str">
        <x:v>TECH-PEAK-003</x:v>
      </x:c>
      <x:c r="N203" s="15" t="str">
        <x:v>review_warning_in_T08_before_conserve</x:v>
      </x:c>
      <x:c r="O203" s="15" t="str">
        <x:v>source_exact_normalized_supported_pending_human</x:v>
      </x:c>
      <x:c r="P203" s="15" t="str">
        <x:v>stratified_human_confirmation</x:v>
      </x:c>
      <x:c r="Q203" s="15" t="str">
        <x:v>Although the weather forecast had predicted rain, the afternoon turned out to be bright and sunny.</x:v>
      </x:c>
      <x:c r="R203" s="15" t="str">
        <x:v>Although the weather forecast had predicted rain, the afternoon turned out to be bright and sunny.</x:v>
      </x:c>
      <x:c r="S203" s="15" t="str">
        <x:v>none</x:v>
      </x:c>
      <x:c r="T203" s="15" t="str">
        <x:v>source_contract_preserved_subject_to_T08</x:v>
      </x:c>
      <x:c r="U203" s="15" t="str">
        <x:v>A_linguistic_conserve_candidate</x:v>
      </x:c>
      <x:c r="V203" s="16" t="str">
        <x:v>not_started</x:v>
      </x:c>
      <x:c r="W203" s="16"/>
      <x:c r="X203" s="16"/>
      <x:c r="Y203" s="16"/>
      <x:c r="Z203" s="16"/>
      <x:c r="AA203" s="16"/>
      <x:c r="AB203" s="16"/>
      <x:c r="AC203" s="16"/>
      <x:c r="AD203" s="16"/>
      <x:c r="AE203" s="16"/>
      <x:c r="AF203" s="16"/>
      <x:c r="AG203" s="16"/>
      <x:c r="AH203" s="16"/>
      <x:c r="AI203" s="16"/>
      <x:c r="AJ203" s="16"/>
      <x:c r="AK203" s="16"/>
      <x:c r="AL203" s="16"/>
      <x:c r="AM203" s="16"/>
      <x:c r="AN203" s="16"/>
      <x:c r="AO203" s="16"/>
      <x:c r="AP203" s="16"/>
      <x:c r="AQ203" s="16"/>
      <x:c r="AR203" s="16"/>
      <x:c r="AS203" s="16"/>
      <x:c r="AT203" s="20"/>
      <x:c r="AU203" s="16"/>
      <x:c r="AV203" s="16"/>
      <x:c r="AW203" s="16" t="str">
        <x:v>pending</x:v>
      </x:c>
      <x:c r="AX203" s="17" t="str">
        <x:v>blocked_not_validated</x:v>
      </x:c>
      <x:c r="AY203" s="18" t="str">
        <x:f>IF(OR(C203="yes",X203="corrected",COUNTIF(Z203:AL203,"major")&gt;0,COUNTIF(Z203:AL203,"blocker")&gt;0,OR(AO203="repair",AO203="segment",AO203="replace",AO203="block")),"yes","no")</x:f>
        <x:v>no</x:v>
      </x:c>
      <x:c r="AZ203" s="18" t="str">
        <x:f>IF(AND(V203="reviewed",W203&gt;=1,X203&lt;&gt;"",Y203&lt;&gt;"",COUNTA(Z203:AL203)=13,AM203&lt;&gt;"",AN203&lt;&gt;"",AO203&lt;&gt;"",AP203&lt;&gt;"",AQ203&lt;&gt;"",AR203&lt;&gt;"",AS203="I_listened_at_1x_and_completed_all_required_fields",AT203&lt;&gt;"",AW203="adjudicated",OR(AY203="no",AND(AU203&lt;&gt;"",AV203&lt;&gt;""))),"complete","incomplete")</x:f>
        <x:v>incomplete</x:v>
      </x:c>
      <x:c r="BA203" s="18" t="str">
        <x:f>IF(AZ203="complete","none","faltan campos humanos, adjudicación o segunda revisión")</x:f>
        <x:v>faltan campos humanos, adjudicación o segunda revisión</x:v>
      </x:c>
    </x:row>
    <x:row r="204" ht="36" customHeight="1">
      <x:c r="A204" s="15" t="n">
        <x:v>203</x:v>
      </x:c>
      <x:c r="B204" s="15" t="str">
        <x:v>P3-SAMPLE</x:v>
      </x:c>
      <x:c r="C204" s="15" t="str">
        <x:v>no</x:v>
      </x:c>
      <x:c r="D204" s="15" t="str">
        <x:v>asset:toefl:set-3:part-12:repeat-1</x:v>
      </x:c>
      <x:c r="E204" s="15" t="str">
        <x:v>set-3</x:v>
      </x:c>
      <x:c r="F204" s="15" t="str">
        <x:v>Listen and Repeat</x:v>
      </x:c>
      <x:c r="G204" s="15" t="str">
        <x:v>/Users/josedavidduartesilva/Developer/idiomaswl/public/audio/toefl/set-3/repeat-1.mp3</x:v>
      </x:c>
      <x:c r="H204" s="19" t="n">
        <x:v>2.18</x:v>
      </x:c>
      <x:c r="I204" s="15" t="str">
        <x:v>P3</x:v>
      </x:c>
      <x:c r="J204" s="15" t="str">
        <x:v>stratified_sample_T08</x:v>
      </x:c>
      <x:c r="K204" s="15" t="str">
        <x:v>pass_automated_T06</x:v>
      </x:c>
      <x:c r="L204" s="15" t="str">
        <x:v>none</x:v>
      </x:c>
      <x:c r="M204" s="15" t="str">
        <x:v>none</x:v>
      </x:c>
      <x:c r="N204" s="15" t="str">
        <x:v>conserve_source_technical_candidate</x:v>
      </x:c>
      <x:c r="O204" s="15" t="str">
        <x:v>source_exact_normalized_supported_pending_human</x:v>
      </x:c>
      <x:c r="P204" s="15" t="str">
        <x:v>stratified_human_confirmation</x:v>
      </x:c>
      <x:c r="Q204" s="15" t="str">
        <x:v>The store closes at six.</x:v>
      </x:c>
      <x:c r="R204" s="15" t="str">
        <x:v>The store closes at 6.</x:v>
      </x:c>
      <x:c r="S204" s="15" t="str">
        <x:v>none</x:v>
      </x:c>
      <x:c r="T204" s="15" t="str">
        <x:v>source_contract_preserved_subject_to_T08</x:v>
      </x:c>
      <x:c r="U204" s="15" t="str">
        <x:v>A_linguistic_conserve_candidate</x:v>
      </x:c>
      <x:c r="V204" s="16" t="str">
        <x:v>not_started</x:v>
      </x:c>
      <x:c r="W204" s="16"/>
      <x:c r="X204" s="16"/>
      <x:c r="Y204" s="16"/>
      <x:c r="Z204" s="16"/>
      <x:c r="AA204" s="16"/>
      <x:c r="AB204" s="16"/>
      <x:c r="AC204" s="16"/>
      <x:c r="AD204" s="16"/>
      <x:c r="AE204" s="16"/>
      <x:c r="AF204" s="16"/>
      <x:c r="AG204" s="16"/>
      <x:c r="AH204" s="16"/>
      <x:c r="AI204" s="16"/>
      <x:c r="AJ204" s="16"/>
      <x:c r="AK204" s="16"/>
      <x:c r="AL204" s="16"/>
      <x:c r="AM204" s="16"/>
      <x:c r="AN204" s="16"/>
      <x:c r="AO204" s="16"/>
      <x:c r="AP204" s="16"/>
      <x:c r="AQ204" s="16"/>
      <x:c r="AR204" s="16"/>
      <x:c r="AS204" s="16"/>
      <x:c r="AT204" s="20"/>
      <x:c r="AU204" s="16"/>
      <x:c r="AV204" s="16"/>
      <x:c r="AW204" s="16" t="str">
        <x:v>pending</x:v>
      </x:c>
      <x:c r="AX204" s="17" t="str">
        <x:v>blocked_not_validated</x:v>
      </x:c>
      <x:c r="AY204" s="18" t="str">
        <x:f>IF(OR(C204="yes",X204="corrected",COUNTIF(Z204:AL204,"major")&gt;0,COUNTIF(Z204:AL204,"blocker")&gt;0,OR(AO204="repair",AO204="segment",AO204="replace",AO204="block")),"yes","no")</x:f>
        <x:v>no</x:v>
      </x:c>
      <x:c r="AZ204" s="18" t="str">
        <x:f>IF(AND(V204="reviewed",W204&gt;=1,X204&lt;&gt;"",Y204&lt;&gt;"",COUNTA(Z204:AL204)=13,AM204&lt;&gt;"",AN204&lt;&gt;"",AO204&lt;&gt;"",AP204&lt;&gt;"",AQ204&lt;&gt;"",AR204&lt;&gt;"",AS204="I_listened_at_1x_and_completed_all_required_fields",AT204&lt;&gt;"",AW204="adjudicated",OR(AY204="no",AND(AU204&lt;&gt;"",AV204&lt;&gt;""))),"complete","incomplete")</x:f>
        <x:v>incomplete</x:v>
      </x:c>
      <x:c r="BA204" s="18" t="str">
        <x:f>IF(AZ204="complete","none","faltan campos humanos, adjudicación o segunda revisión")</x:f>
        <x:v>faltan campos humanos, adjudicación o segunda revisión</x:v>
      </x:c>
    </x:row>
    <x:row r="205" ht="36" customHeight="1">
      <x:c r="A205" s="15" t="n">
        <x:v>204</x:v>
      </x:c>
      <x:c r="B205" s="15" t="str">
        <x:v>P3-SAMPLE</x:v>
      </x:c>
      <x:c r="C205" s="15" t="str">
        <x:v>no</x:v>
      </x:c>
      <x:c r="D205" s="15" t="str">
        <x:v>asset:toefl:set-3:part-12:repeat-2</x:v>
      </x:c>
      <x:c r="E205" s="15" t="str">
        <x:v>set-3</x:v>
      </x:c>
      <x:c r="F205" s="15" t="str">
        <x:v>Listen and Repeat</x:v>
      </x:c>
      <x:c r="G205" s="15" t="str">
        <x:v>/Users/josedavidduartesilva/Developer/idiomaswl/public/audio/toefl/set-3/repeat-2.mp3</x:v>
      </x:c>
      <x:c r="H205" s="19" t="n">
        <x:v>2.82</x:v>
      </x:c>
      <x:c r="I205" s="15" t="str">
        <x:v>P3</x:v>
      </x:c>
      <x:c r="J205" s="15" t="str">
        <x:v>stratified_sample_T08</x:v>
      </x:c>
      <x:c r="K205" s="15" t="str">
        <x:v>pass_with_actionable_warning</x:v>
      </x:c>
      <x:c r="L205" s="15" t="str">
        <x:v>none</x:v>
      </x:c>
      <x:c r="M205" s="15" t="str">
        <x:v>TECH-LDN-003</x:v>
      </x:c>
      <x:c r="N205" s="15" t="str">
        <x:v>review_warning_in_T08_before_conserve</x:v>
      </x:c>
      <x:c r="O205" s="15" t="str">
        <x:v>source_exact_normalized_supported_pending_human</x:v>
      </x:c>
      <x:c r="P205" s="15" t="str">
        <x:v>stratified_human_confirmation</x:v>
      </x:c>
      <x:c r="Q205" s="15" t="str">
        <x:v>She fed the cat and opened the curtains.</x:v>
      </x:c>
      <x:c r="R205" s="15" t="str">
        <x:v>She fed the cat and opened the curtains.</x:v>
      </x:c>
      <x:c r="S205" s="15" t="str">
        <x:v>none</x:v>
      </x:c>
      <x:c r="T205" s="15" t="str">
        <x:v>source_contract_preserved_subject_to_T08</x:v>
      </x:c>
      <x:c r="U205" s="15" t="str">
        <x:v>A_linguistic_conserve_candidate</x:v>
      </x:c>
      <x:c r="V205" s="16" t="str">
        <x:v>not_started</x:v>
      </x:c>
      <x:c r="W205" s="16"/>
      <x:c r="X205" s="16"/>
      <x:c r="Y205" s="16"/>
      <x:c r="Z205" s="16"/>
      <x:c r="AA205" s="16"/>
      <x:c r="AB205" s="16"/>
      <x:c r="AC205" s="16"/>
      <x:c r="AD205" s="16"/>
      <x:c r="AE205" s="16"/>
      <x:c r="AF205" s="16"/>
      <x:c r="AG205" s="16"/>
      <x:c r="AH205" s="16"/>
      <x:c r="AI205" s="16"/>
      <x:c r="AJ205" s="16"/>
      <x:c r="AK205" s="16"/>
      <x:c r="AL205" s="16"/>
      <x:c r="AM205" s="16"/>
      <x:c r="AN205" s="16"/>
      <x:c r="AO205" s="16"/>
      <x:c r="AP205" s="16"/>
      <x:c r="AQ205" s="16"/>
      <x:c r="AR205" s="16"/>
      <x:c r="AS205" s="16"/>
      <x:c r="AT205" s="20"/>
      <x:c r="AU205" s="16"/>
      <x:c r="AV205" s="16"/>
      <x:c r="AW205" s="16" t="str">
        <x:v>pending</x:v>
      </x:c>
      <x:c r="AX205" s="17" t="str">
        <x:v>blocked_not_validated</x:v>
      </x:c>
      <x:c r="AY205" s="18" t="str">
        <x:f>IF(OR(C205="yes",X205="corrected",COUNTIF(Z205:AL205,"major")&gt;0,COUNTIF(Z205:AL205,"blocker")&gt;0,OR(AO205="repair",AO205="segment",AO205="replace",AO205="block")),"yes","no")</x:f>
        <x:v>no</x:v>
      </x:c>
      <x:c r="AZ205" s="18" t="str">
        <x:f>IF(AND(V205="reviewed",W205&gt;=1,X205&lt;&gt;"",Y205&lt;&gt;"",COUNTA(Z205:AL205)=13,AM205&lt;&gt;"",AN205&lt;&gt;"",AO205&lt;&gt;"",AP205&lt;&gt;"",AQ205&lt;&gt;"",AR205&lt;&gt;"",AS205="I_listened_at_1x_and_completed_all_required_fields",AT205&lt;&gt;"",AW205="adjudicated",OR(AY205="no",AND(AU205&lt;&gt;"",AV205&lt;&gt;""))),"complete","incomplete")</x:f>
        <x:v>incomplete</x:v>
      </x:c>
      <x:c r="BA205" s="18" t="str">
        <x:f>IF(AZ205="complete","none","faltan campos humanos, adjudicación o segunda revisión")</x:f>
        <x:v>faltan campos humanos, adjudicación o segunda revisión</x:v>
      </x:c>
    </x:row>
    <x:row r="206" ht="36" customHeight="1">
      <x:c r="A206" s="15" t="n">
        <x:v>205</x:v>
      </x:c>
      <x:c r="B206" s="15" t="str">
        <x:v>P3-SAMPLE</x:v>
      </x:c>
      <x:c r="C206" s="15" t="str">
        <x:v>no</x:v>
      </x:c>
      <x:c r="D206" s="15" t="str">
        <x:v>asset:toefl:set-3:part-12:repeat-4</x:v>
      </x:c>
      <x:c r="E206" s="15" t="str">
        <x:v>set-3</x:v>
      </x:c>
      <x:c r="F206" s="15" t="str">
        <x:v>Listen and Repeat</x:v>
      </x:c>
      <x:c r="G206" s="15" t="str">
        <x:v>/Users/josedavidduartesilva/Developer/idiomaswl/public/audio/toefl/set-3/repeat-4.mp3</x:v>
      </x:c>
      <x:c r="H206" s="19" t="n">
        <x:v>4.181</x:v>
      </x:c>
      <x:c r="I206" s="15" t="str">
        <x:v>P3</x:v>
      </x:c>
      <x:c r="J206" s="15" t="str">
        <x:v>stratified_sample_T08</x:v>
      </x:c>
      <x:c r="K206" s="15" t="str">
        <x:v>pass_automated_T06</x:v>
      </x:c>
      <x:c r="L206" s="15" t="str">
        <x:v>none</x:v>
      </x:c>
      <x:c r="M206" s="15" t="str">
        <x:v>none</x:v>
      </x:c>
      <x:c r="N206" s="15" t="str">
        <x:v>conserve_source_technical_candidate</x:v>
      </x:c>
      <x:c r="O206" s="15" t="str">
        <x:v>source_exact_normalized_supported_pending_human</x:v>
      </x:c>
      <x:c r="P206" s="15" t="str">
        <x:v>stratified_human_confirmation</x:v>
      </x:c>
      <x:c r="Q206" s="15" t="str">
        <x:v>The scientist explained that the results would take several weeks to confirm.</x:v>
      </x:c>
      <x:c r="R206" s="15" t="str">
        <x:v>The scientist explained that the results would take several weeks to confirm.</x:v>
      </x:c>
      <x:c r="S206" s="15" t="str">
        <x:v>none</x:v>
      </x:c>
      <x:c r="T206" s="15" t="str">
        <x:v>source_contract_preserved_subject_to_T08</x:v>
      </x:c>
      <x:c r="U206" s="15" t="str">
        <x:v>A_linguistic_conserve_candidate</x:v>
      </x:c>
      <x:c r="V206" s="16" t="str">
        <x:v>not_started</x:v>
      </x:c>
      <x:c r="W206" s="16"/>
      <x:c r="X206" s="16"/>
      <x:c r="Y206" s="16"/>
      <x:c r="Z206" s="16"/>
      <x:c r="AA206" s="16"/>
      <x:c r="AB206" s="16"/>
      <x:c r="AC206" s="16"/>
      <x:c r="AD206" s="16"/>
      <x:c r="AE206" s="16"/>
      <x:c r="AF206" s="16"/>
      <x:c r="AG206" s="16"/>
      <x:c r="AH206" s="16"/>
      <x:c r="AI206" s="16"/>
      <x:c r="AJ206" s="16"/>
      <x:c r="AK206" s="16"/>
      <x:c r="AL206" s="16"/>
      <x:c r="AM206" s="16"/>
      <x:c r="AN206" s="16"/>
      <x:c r="AO206" s="16"/>
      <x:c r="AP206" s="16"/>
      <x:c r="AQ206" s="16"/>
      <x:c r="AR206" s="16"/>
      <x:c r="AS206" s="16"/>
      <x:c r="AT206" s="20"/>
      <x:c r="AU206" s="16"/>
      <x:c r="AV206" s="16"/>
      <x:c r="AW206" s="16" t="str">
        <x:v>pending</x:v>
      </x:c>
      <x:c r="AX206" s="17" t="str">
        <x:v>blocked_not_validated</x:v>
      </x:c>
      <x:c r="AY206" s="18" t="str">
        <x:f>IF(OR(C206="yes",X206="corrected",COUNTIF(Z206:AL206,"major")&gt;0,COUNTIF(Z206:AL206,"blocker")&gt;0,OR(AO206="repair",AO206="segment",AO206="replace",AO206="block")),"yes","no")</x:f>
        <x:v>no</x:v>
      </x:c>
      <x:c r="AZ206" s="18" t="str">
        <x:f>IF(AND(V206="reviewed",W206&gt;=1,X206&lt;&gt;"",Y206&lt;&gt;"",COUNTA(Z206:AL206)=13,AM206&lt;&gt;"",AN206&lt;&gt;"",AO206&lt;&gt;"",AP206&lt;&gt;"",AQ206&lt;&gt;"",AR206&lt;&gt;"",AS206="I_listened_at_1x_and_completed_all_required_fields",AT206&lt;&gt;"",AW206="adjudicated",OR(AY206="no",AND(AU206&lt;&gt;"",AV206&lt;&gt;""))),"complete","incomplete")</x:f>
        <x:v>incomplete</x:v>
      </x:c>
      <x:c r="BA206" s="18" t="str">
        <x:f>IF(AZ206="complete","none","faltan campos humanos, adjudicación o segunda revisión")</x:f>
        <x:v>faltan campos humanos, adjudicación o segunda revisión</x:v>
      </x:c>
    </x:row>
    <x:row r="207" ht="36" customHeight="1">
      <x:c r="A207" s="15" t="n">
        <x:v>206</x:v>
      </x:c>
      <x:c r="B207" s="15" t="str">
        <x:v>P3-SAMPLE</x:v>
      </x:c>
      <x:c r="C207" s="15" t="str">
        <x:v>no</x:v>
      </x:c>
      <x:c r="D207" s="15" t="str">
        <x:v>asset:toefl:set-3:part-12:repeat-5</x:v>
      </x:c>
      <x:c r="E207" s="15" t="str">
        <x:v>set-3</x:v>
      </x:c>
      <x:c r="F207" s="15" t="str">
        <x:v>Listen and Repeat</x:v>
      </x:c>
      <x:c r="G207" s="15" t="str">
        <x:v>/Users/josedavidduartesilva/Developer/idiomaswl/public/audio/toefl/set-3/repeat-5.mp3</x:v>
      </x:c>
      <x:c r="H207" s="19" t="n">
        <x:v>6.1</x:v>
      </x:c>
      <x:c r="I207" s="15" t="str">
        <x:v>P3</x:v>
      </x:c>
      <x:c r="J207" s="15" t="str">
        <x:v>stratified_sample_T08</x:v>
      </x:c>
      <x:c r="K207" s="15" t="str">
        <x:v>pass_automated_T06</x:v>
      </x:c>
      <x:c r="L207" s="15" t="str">
        <x:v>none</x:v>
      </x:c>
      <x:c r="M207" s="15" t="str">
        <x:v>none</x:v>
      </x:c>
      <x:c r="N207" s="15" t="str">
        <x:v>conserve_source_technical_candidate</x:v>
      </x:c>
      <x:c r="O207" s="15" t="str">
        <x:v>source_exact_normalized_supported_pending_human</x:v>
      </x:c>
      <x:c r="P207" s="15" t="str">
        <x:v>stratified_human_confirmation</x:v>
      </x:c>
      <x:c r="Q207" s="15" t="str">
        <x:v>When the museum introduced free entry on Sundays, the number of visitors increased dramatically.</x:v>
      </x:c>
      <x:c r="R207" s="15" t="str">
        <x:v>When the museum introduced free entry on Sundays, the number of visitors increased dramatically.</x:v>
      </x:c>
      <x:c r="S207" s="15" t="str">
        <x:v>none</x:v>
      </x:c>
      <x:c r="T207" s="15" t="str">
        <x:v>source_contract_preserved_subject_to_T08</x:v>
      </x:c>
      <x:c r="U207" s="15" t="str">
        <x:v>A_linguistic_conserve_candidate</x:v>
      </x:c>
      <x:c r="V207" s="16" t="str">
        <x:v>not_started</x:v>
      </x:c>
      <x:c r="W207" s="16"/>
      <x:c r="X207" s="16"/>
      <x:c r="Y207" s="16"/>
      <x:c r="Z207" s="16"/>
      <x:c r="AA207" s="16"/>
      <x:c r="AB207" s="16"/>
      <x:c r="AC207" s="16"/>
      <x:c r="AD207" s="16"/>
      <x:c r="AE207" s="16"/>
      <x:c r="AF207" s="16"/>
      <x:c r="AG207" s="16"/>
      <x:c r="AH207" s="16"/>
      <x:c r="AI207" s="16"/>
      <x:c r="AJ207" s="16"/>
      <x:c r="AK207" s="16"/>
      <x:c r="AL207" s="16"/>
      <x:c r="AM207" s="16"/>
      <x:c r="AN207" s="16"/>
      <x:c r="AO207" s="16"/>
      <x:c r="AP207" s="16"/>
      <x:c r="AQ207" s="16"/>
      <x:c r="AR207" s="16"/>
      <x:c r="AS207" s="16"/>
      <x:c r="AT207" s="20"/>
      <x:c r="AU207" s="16"/>
      <x:c r="AV207" s="16"/>
      <x:c r="AW207" s="16" t="str">
        <x:v>pending</x:v>
      </x:c>
      <x:c r="AX207" s="17" t="str">
        <x:v>blocked_not_validated</x:v>
      </x:c>
      <x:c r="AY207" s="18" t="str">
        <x:f>IF(OR(C207="yes",X207="corrected",COUNTIF(Z207:AL207,"major")&gt;0,COUNTIF(Z207:AL207,"blocker")&gt;0,OR(AO207="repair",AO207="segment",AO207="replace",AO207="block")),"yes","no")</x:f>
        <x:v>no</x:v>
      </x:c>
      <x:c r="AZ207" s="18" t="str">
        <x:f>IF(AND(V207="reviewed",W207&gt;=1,X207&lt;&gt;"",Y207&lt;&gt;"",COUNTA(Z207:AL207)=13,AM207&lt;&gt;"",AN207&lt;&gt;"",AO207&lt;&gt;"",AP207&lt;&gt;"",AQ207&lt;&gt;"",AR207&lt;&gt;"",AS207="I_listened_at_1x_and_completed_all_required_fields",AT207&lt;&gt;"",AW207="adjudicated",OR(AY207="no",AND(AU207&lt;&gt;"",AV207&lt;&gt;""))),"complete","incomplete")</x:f>
        <x:v>incomplete</x:v>
      </x:c>
      <x:c r="BA207" s="18" t="str">
        <x:f>IF(AZ207="complete","none","faltan campos humanos, adjudicación o segunda revisión")</x:f>
        <x:v>faltan campos humanos, adjudicación o segunda revisión</x:v>
      </x:c>
    </x:row>
    <x:row r="208" ht="36" customHeight="1">
      <x:c r="A208" s="15" t="n">
        <x:v>207</x:v>
      </x:c>
      <x:c r="B208" s="15" t="str">
        <x:v>P3-SAMPLE</x:v>
      </x:c>
      <x:c r="C208" s="15" t="str">
        <x:v>no</x:v>
      </x:c>
      <x:c r="D208" s="15" t="str">
        <x:v>asset:toefl:set-4:part-12:repeat-4</x:v>
      </x:c>
      <x:c r="E208" s="15" t="str">
        <x:v>set-4</x:v>
      </x:c>
      <x:c r="F208" s="15" t="str">
        <x:v>Listen and Repeat</x:v>
      </x:c>
      <x:c r="G208" s="15" t="str">
        <x:v>/Users/josedavidduartesilva/Developer/idiomaswl/public/audio/toefl/set-4/repeat-4.mp3</x:v>
      </x:c>
      <x:c r="H208" s="19" t="n">
        <x:v>4.5</x:v>
      </x:c>
      <x:c r="I208" s="15" t="str">
        <x:v>P3</x:v>
      </x:c>
      <x:c r="J208" s="15" t="str">
        <x:v>stratified_sample_T08</x:v>
      </x:c>
      <x:c r="K208" s="15" t="str">
        <x:v>pass_automated_T06</x:v>
      </x:c>
      <x:c r="L208" s="15" t="str">
        <x:v>none</x:v>
      </x:c>
      <x:c r="M208" s="15" t="str">
        <x:v>none</x:v>
      </x:c>
      <x:c r="N208" s="15" t="str">
        <x:v>conserve_source_technical_candidate</x:v>
      </x:c>
      <x:c r="O208" s="15" t="str">
        <x:v>source_exact_normalized_supported_pending_human</x:v>
      </x:c>
      <x:c r="P208" s="15" t="str">
        <x:v>stratified_human_confirmation</x:v>
      </x:c>
      <x:c r="Q208" s="15" t="str">
        <x:v>The committee agreed that the festival should be held in the town square this year.</x:v>
      </x:c>
      <x:c r="R208" s="15" t="str">
        <x:v>The committee agreed that the festival should be held in the town square this year.</x:v>
      </x:c>
      <x:c r="S208" s="15" t="str">
        <x:v>none</x:v>
      </x:c>
      <x:c r="T208" s="15" t="str">
        <x:v>source_contract_preserved_subject_to_T08</x:v>
      </x:c>
      <x:c r="U208" s="15" t="str">
        <x:v>A_linguistic_conserve_candidate</x:v>
      </x:c>
      <x:c r="V208" s="16" t="str">
        <x:v>not_started</x:v>
      </x:c>
      <x:c r="W208" s="16"/>
      <x:c r="X208" s="16"/>
      <x:c r="Y208" s="16"/>
      <x:c r="Z208" s="16"/>
      <x:c r="AA208" s="16"/>
      <x:c r="AB208" s="16"/>
      <x:c r="AC208" s="16"/>
      <x:c r="AD208" s="16"/>
      <x:c r="AE208" s="16"/>
      <x:c r="AF208" s="16"/>
      <x:c r="AG208" s="16"/>
      <x:c r="AH208" s="16"/>
      <x:c r="AI208" s="16"/>
      <x:c r="AJ208" s="16"/>
      <x:c r="AK208" s="16"/>
      <x:c r="AL208" s="16"/>
      <x:c r="AM208" s="16"/>
      <x:c r="AN208" s="16"/>
      <x:c r="AO208" s="16"/>
      <x:c r="AP208" s="16"/>
      <x:c r="AQ208" s="16"/>
      <x:c r="AR208" s="16"/>
      <x:c r="AS208" s="16"/>
      <x:c r="AT208" s="20"/>
      <x:c r="AU208" s="16"/>
      <x:c r="AV208" s="16"/>
      <x:c r="AW208" s="16" t="str">
        <x:v>pending</x:v>
      </x:c>
      <x:c r="AX208" s="17" t="str">
        <x:v>blocked_not_validated</x:v>
      </x:c>
      <x:c r="AY208" s="18" t="str">
        <x:f>IF(OR(C208="yes",X208="corrected",COUNTIF(Z208:AL208,"major")&gt;0,COUNTIF(Z208:AL208,"blocker")&gt;0,OR(AO208="repair",AO208="segment",AO208="replace",AO208="block")),"yes","no")</x:f>
        <x:v>no</x:v>
      </x:c>
      <x:c r="AZ208" s="18" t="str">
        <x:f>IF(AND(V208="reviewed",W208&gt;=1,X208&lt;&gt;"",Y208&lt;&gt;"",COUNTA(Z208:AL208)=13,AM208&lt;&gt;"",AN208&lt;&gt;"",AO208&lt;&gt;"",AP208&lt;&gt;"",AQ208&lt;&gt;"",AR208&lt;&gt;"",AS208="I_listened_at_1x_and_completed_all_required_fields",AT208&lt;&gt;"",AW208="adjudicated",OR(AY208="no",AND(AU208&lt;&gt;"",AV208&lt;&gt;""))),"complete","incomplete")</x:f>
        <x:v>incomplete</x:v>
      </x:c>
      <x:c r="BA208" s="18" t="str">
        <x:f>IF(AZ208="complete","none","faltan campos humanos, adjudicación o segunda revisión")</x:f>
        <x:v>faltan campos humanos, adjudicación o segunda revisión</x:v>
      </x:c>
    </x:row>
    <x:row r="209" ht="36" customHeight="1">
      <x:c r="A209" s="15" t="n">
        <x:v>208</x:v>
      </x:c>
      <x:c r="B209" s="15" t="str">
        <x:v>P3-SAMPLE</x:v>
      </x:c>
      <x:c r="C209" s="15" t="str">
        <x:v>no</x:v>
      </x:c>
      <x:c r="D209" s="15" t="str">
        <x:v>asset:toefl:set-4:part-12:repeat-5</x:v>
      </x:c>
      <x:c r="E209" s="15" t="str">
        <x:v>set-4</x:v>
      </x:c>
      <x:c r="F209" s="15" t="str">
        <x:v>Listen and Repeat</x:v>
      </x:c>
      <x:c r="G209" s="15" t="str">
        <x:v>/Users/josedavidduartesilva/Developer/idiomaswl/public/audio/toefl/set-4/repeat-5.mp3</x:v>
      </x:c>
      <x:c r="H209" s="19" t="n">
        <x:v>6.34</x:v>
      </x:c>
      <x:c r="I209" s="15" t="str">
        <x:v>P3</x:v>
      </x:c>
      <x:c r="J209" s="15" t="str">
        <x:v>stratified_sample_T08</x:v>
      </x:c>
      <x:c r="K209" s="15" t="str">
        <x:v>pass_automated_T06</x:v>
      </x:c>
      <x:c r="L209" s="15" t="str">
        <x:v>none</x:v>
      </x:c>
      <x:c r="M209" s="15" t="str">
        <x:v>none</x:v>
      </x:c>
      <x:c r="N209" s="15" t="str">
        <x:v>conserve_source_technical_candidate</x:v>
      </x:c>
      <x:c r="O209" s="15" t="str">
        <x:v>source_exact_normalized_supported_pending_human</x:v>
      </x:c>
      <x:c r="P209" s="15" t="str">
        <x:v>stratified_human_confirmation</x:v>
      </x:c>
      <x:c r="Q209" s="15" t="str">
        <x:v>Once the software update had been installed, the computers ran faster and crashed far less often.</x:v>
      </x:c>
      <x:c r="R209" s="15" t="str">
        <x:v>Once the software update had been installed, the computers ran faster and crashed far less often.</x:v>
      </x:c>
      <x:c r="S209" s="15" t="str">
        <x:v>none</x:v>
      </x:c>
      <x:c r="T209" s="15" t="str">
        <x:v>source_contract_preserved_subject_to_T08</x:v>
      </x:c>
      <x:c r="U209" s="15" t="str">
        <x:v>A_linguistic_conserve_candidate</x:v>
      </x:c>
      <x:c r="V209" s="16" t="str">
        <x:v>not_started</x:v>
      </x:c>
      <x:c r="W209" s="16"/>
      <x:c r="X209" s="16"/>
      <x:c r="Y209" s="16"/>
      <x:c r="Z209" s="16"/>
      <x:c r="AA209" s="16"/>
      <x:c r="AB209" s="16"/>
      <x:c r="AC209" s="16"/>
      <x:c r="AD209" s="16"/>
      <x:c r="AE209" s="16"/>
      <x:c r="AF209" s="16"/>
      <x:c r="AG209" s="16"/>
      <x:c r="AH209" s="16"/>
      <x:c r="AI209" s="16"/>
      <x:c r="AJ209" s="16"/>
      <x:c r="AK209" s="16"/>
      <x:c r="AL209" s="16"/>
      <x:c r="AM209" s="16"/>
      <x:c r="AN209" s="16"/>
      <x:c r="AO209" s="16"/>
      <x:c r="AP209" s="16"/>
      <x:c r="AQ209" s="16"/>
      <x:c r="AR209" s="16"/>
      <x:c r="AS209" s="16"/>
      <x:c r="AT209" s="20"/>
      <x:c r="AU209" s="16"/>
      <x:c r="AV209" s="16"/>
      <x:c r="AW209" s="16" t="str">
        <x:v>pending</x:v>
      </x:c>
      <x:c r="AX209" s="17" t="str">
        <x:v>blocked_not_validated</x:v>
      </x:c>
      <x:c r="AY209" s="18" t="str">
        <x:f>IF(OR(C209="yes",X209="corrected",COUNTIF(Z209:AL209,"major")&gt;0,COUNTIF(Z209:AL209,"blocker")&gt;0,OR(AO209="repair",AO209="segment",AO209="replace",AO209="block")),"yes","no")</x:f>
        <x:v>no</x:v>
      </x:c>
      <x:c r="AZ209" s="18" t="str">
        <x:f>IF(AND(V209="reviewed",W209&gt;=1,X209&lt;&gt;"",Y209&lt;&gt;"",COUNTA(Z209:AL209)=13,AM209&lt;&gt;"",AN209&lt;&gt;"",AO209&lt;&gt;"",AP209&lt;&gt;"",AQ209&lt;&gt;"",AR209&lt;&gt;"",AS209="I_listened_at_1x_and_completed_all_required_fields",AT209&lt;&gt;"",AW209="adjudicated",OR(AY209="no",AND(AU209&lt;&gt;"",AV209&lt;&gt;""))),"complete","incomplete")</x:f>
        <x:v>incomplete</x:v>
      </x:c>
      <x:c r="BA209" s="18" t="str">
        <x:f>IF(AZ209="complete","none","faltan campos humanos, adjudicación o segunda revisión")</x:f>
        <x:v>faltan campos humanos, adjudicación o segunda revisión</x:v>
      </x:c>
    </x:row>
    <x:row r="210" ht="36" customHeight="1">
      <x:c r="A210" s="15" t="n">
        <x:v>209</x:v>
      </x:c>
      <x:c r="B210" s="15" t="str">
        <x:v>P3-SAMPLE</x:v>
      </x:c>
      <x:c r="C210" s="15" t="str">
        <x:v>no</x:v>
      </x:c>
      <x:c r="D210" s="15" t="str">
        <x:v>asset:toefl:set-5:part-12:repeat-4</x:v>
      </x:c>
      <x:c r="E210" s="15" t="str">
        <x:v>set-5</x:v>
      </x:c>
      <x:c r="F210" s="15" t="str">
        <x:v>Listen and Repeat</x:v>
      </x:c>
      <x:c r="G210" s="15" t="str">
        <x:v>/Users/josedavidduartesilva/Developer/idiomaswl/public/audio/toefl/set-5/repeat-4.mp3</x:v>
      </x:c>
      <x:c r="H210" s="19" t="n">
        <x:v>4.42</x:v>
      </x:c>
      <x:c r="I210" s="15" t="str">
        <x:v>P3</x:v>
      </x:c>
      <x:c r="J210" s="15" t="str">
        <x:v>stratified_sample_T08</x:v>
      </x:c>
      <x:c r="K210" s="15" t="str">
        <x:v>pass_automated_T06</x:v>
      </x:c>
      <x:c r="L210" s="15" t="str">
        <x:v>none</x:v>
      </x:c>
      <x:c r="M210" s="15" t="str">
        <x:v>none</x:v>
      </x:c>
      <x:c r="N210" s="15" t="str">
        <x:v>conserve_source_technical_candidate</x:v>
      </x:c>
      <x:c r="O210" s="15" t="str">
        <x:v>source_exact_normalized_supported_pending_human</x:v>
      </x:c>
      <x:c r="P210" s="15" t="str">
        <x:v>stratified_human_confirmation</x:v>
      </x:c>
      <x:c r="Q210" s="15" t="str">
        <x:v>The professor who taught the seminar last year has moved to another university.</x:v>
      </x:c>
      <x:c r="R210" s="15" t="str">
        <x:v>The professor who taught the seminar last year has moved to another university.</x:v>
      </x:c>
      <x:c r="S210" s="15" t="str">
        <x:v>none</x:v>
      </x:c>
      <x:c r="T210" s="15" t="str">
        <x:v>source_contract_preserved_subject_to_T08</x:v>
      </x:c>
      <x:c r="U210" s="15" t="str">
        <x:v>A_linguistic_conserve_candidate</x:v>
      </x:c>
      <x:c r="V210" s="16" t="str">
        <x:v>not_started</x:v>
      </x:c>
      <x:c r="W210" s="16"/>
      <x:c r="X210" s="16"/>
      <x:c r="Y210" s="16"/>
      <x:c r="Z210" s="16"/>
      <x:c r="AA210" s="16"/>
      <x:c r="AB210" s="16"/>
      <x:c r="AC210" s="16"/>
      <x:c r="AD210" s="16"/>
      <x:c r="AE210" s="16"/>
      <x:c r="AF210" s="16"/>
      <x:c r="AG210" s="16"/>
      <x:c r="AH210" s="16"/>
      <x:c r="AI210" s="16"/>
      <x:c r="AJ210" s="16"/>
      <x:c r="AK210" s="16"/>
      <x:c r="AL210" s="16"/>
      <x:c r="AM210" s="16"/>
      <x:c r="AN210" s="16"/>
      <x:c r="AO210" s="16"/>
      <x:c r="AP210" s="16"/>
      <x:c r="AQ210" s="16"/>
      <x:c r="AR210" s="16"/>
      <x:c r="AS210" s="16"/>
      <x:c r="AT210" s="20"/>
      <x:c r="AU210" s="16"/>
      <x:c r="AV210" s="16"/>
      <x:c r="AW210" s="16" t="str">
        <x:v>pending</x:v>
      </x:c>
      <x:c r="AX210" s="17" t="str">
        <x:v>blocked_not_validated</x:v>
      </x:c>
      <x:c r="AY210" s="18" t="str">
        <x:f>IF(OR(C210="yes",X210="corrected",COUNTIF(Z210:AL210,"major")&gt;0,COUNTIF(Z210:AL210,"blocker")&gt;0,OR(AO210="repair",AO210="segment",AO210="replace",AO210="block")),"yes","no")</x:f>
        <x:v>no</x:v>
      </x:c>
      <x:c r="AZ210" s="18" t="str">
        <x:f>IF(AND(V210="reviewed",W210&gt;=1,X210&lt;&gt;"",Y210&lt;&gt;"",COUNTA(Z210:AL210)=13,AM210&lt;&gt;"",AN210&lt;&gt;"",AO210&lt;&gt;"",AP210&lt;&gt;"",AQ210&lt;&gt;"",AR210&lt;&gt;"",AS210="I_listened_at_1x_and_completed_all_required_fields",AT210&lt;&gt;"",AW210="adjudicated",OR(AY210="no",AND(AU210&lt;&gt;"",AV210&lt;&gt;""))),"complete","incomplete")</x:f>
        <x:v>incomplete</x:v>
      </x:c>
      <x:c r="BA210" s="18" t="str">
        <x:f>IF(AZ210="complete","none","faltan campos humanos, adjudicación o segunda revisión")</x:f>
        <x:v>faltan campos humanos, adjudicación o segunda revisión</x:v>
      </x:c>
    </x:row>
    <x:row r="211" ht="36" customHeight="1">
      <x:c r="A211" s="15" t="n">
        <x:v>210</x:v>
      </x:c>
      <x:c r="B211" s="15" t="str">
        <x:v>P3-SAMPLE</x:v>
      </x:c>
      <x:c r="C211" s="15" t="str">
        <x:v>no</x:v>
      </x:c>
      <x:c r="D211" s="15" t="str">
        <x:v>asset:toefl:set-6:part-12:repeat-1</x:v>
      </x:c>
      <x:c r="E211" s="15" t="str">
        <x:v>set-6</x:v>
      </x:c>
      <x:c r="F211" s="15" t="str">
        <x:v>Listen and Repeat</x:v>
      </x:c>
      <x:c r="G211" s="15" t="str">
        <x:v>/Users/josedavidduartesilva/Developer/idiomaswl/public/audio/toefl/set-6/repeat-1.mp3</x:v>
      </x:c>
      <x:c r="H211" s="19" t="n">
        <x:v>2.02</x:v>
      </x:c>
      <x:c r="I211" s="15" t="str">
        <x:v>P3</x:v>
      </x:c>
      <x:c r="J211" s="15" t="str">
        <x:v>stratified_sample_T08</x:v>
      </x:c>
      <x:c r="K211" s="15" t="str">
        <x:v>pass_automated_T06</x:v>
      </x:c>
      <x:c r="L211" s="15" t="str">
        <x:v>none</x:v>
      </x:c>
      <x:c r="M211" s="15" t="str">
        <x:v>none</x:v>
      </x:c>
      <x:c r="N211" s="15" t="str">
        <x:v>conserve_source_technical_candidate</x:v>
      </x:c>
      <x:c r="O211" s="15" t="str">
        <x:v>source_exact_normalized_supported_pending_human</x:v>
      </x:c>
      <x:c r="P211" s="15" t="str">
        <x:v>stratified_human_confirmation</x:v>
      </x:c>
      <x:c r="Q211" s="15" t="str">
        <x:v>The store opens at eight.</x:v>
      </x:c>
      <x:c r="R211" s="15" t="str">
        <x:v>The store opens at 8.</x:v>
      </x:c>
      <x:c r="S211" s="15" t="str">
        <x:v>none</x:v>
      </x:c>
      <x:c r="T211" s="15" t="str">
        <x:v>source_contract_preserved_subject_to_T08</x:v>
      </x:c>
      <x:c r="U211" s="15" t="str">
        <x:v>A_linguistic_conserve_candidate</x:v>
      </x:c>
      <x:c r="V211" s="16" t="str">
        <x:v>not_started</x:v>
      </x:c>
      <x:c r="W211" s="16"/>
      <x:c r="X211" s="16"/>
      <x:c r="Y211" s="16"/>
      <x:c r="Z211" s="16"/>
      <x:c r="AA211" s="16"/>
      <x:c r="AB211" s="16"/>
      <x:c r="AC211" s="16"/>
      <x:c r="AD211" s="16"/>
      <x:c r="AE211" s="16"/>
      <x:c r="AF211" s="16"/>
      <x:c r="AG211" s="16"/>
      <x:c r="AH211" s="16"/>
      <x:c r="AI211" s="16"/>
      <x:c r="AJ211" s="16"/>
      <x:c r="AK211" s="16"/>
      <x:c r="AL211" s="16"/>
      <x:c r="AM211" s="16"/>
      <x:c r="AN211" s="16"/>
      <x:c r="AO211" s="16"/>
      <x:c r="AP211" s="16"/>
      <x:c r="AQ211" s="16"/>
      <x:c r="AR211" s="16"/>
      <x:c r="AS211" s="16"/>
      <x:c r="AT211" s="20"/>
      <x:c r="AU211" s="16"/>
      <x:c r="AV211" s="16"/>
      <x:c r="AW211" s="16" t="str">
        <x:v>pending</x:v>
      </x:c>
      <x:c r="AX211" s="17" t="str">
        <x:v>blocked_not_validated</x:v>
      </x:c>
      <x:c r="AY211" s="18" t="str">
        <x:f>IF(OR(C211="yes",X211="corrected",COUNTIF(Z211:AL211,"major")&gt;0,COUNTIF(Z211:AL211,"blocker")&gt;0,OR(AO211="repair",AO211="segment",AO211="replace",AO211="block")),"yes","no")</x:f>
        <x:v>no</x:v>
      </x:c>
      <x:c r="AZ211" s="18" t="str">
        <x:f>IF(AND(V211="reviewed",W211&gt;=1,X211&lt;&gt;"",Y211&lt;&gt;"",COUNTA(Z211:AL211)=13,AM211&lt;&gt;"",AN211&lt;&gt;"",AO211&lt;&gt;"",AP211&lt;&gt;"",AQ211&lt;&gt;"",AR211&lt;&gt;"",AS211="I_listened_at_1x_and_completed_all_required_fields",AT211&lt;&gt;"",AW211="adjudicated",OR(AY211="no",AND(AU211&lt;&gt;"",AV211&lt;&gt;""))),"complete","incomplete")</x:f>
        <x:v>incomplete</x:v>
      </x:c>
      <x:c r="BA211" s="18" t="str">
        <x:f>IF(AZ211="complete","none","faltan campos humanos, adjudicación o segunda revisión")</x:f>
        <x:v>faltan campos humanos, adjudicación o segunda revisión</x:v>
      </x:c>
    </x:row>
    <x:row r="212" ht="36" customHeight="1">
      <x:c r="A212" s="15" t="n">
        <x:v>211</x:v>
      </x:c>
      <x:c r="B212" s="15" t="str">
        <x:v>P3-SAMPLE</x:v>
      </x:c>
      <x:c r="C212" s="15" t="str">
        <x:v>no</x:v>
      </x:c>
      <x:c r="D212" s="15" t="str">
        <x:v>asset:toefl:set-6:part-12:repeat-3</x:v>
      </x:c>
      <x:c r="E212" s="15" t="str">
        <x:v>set-6</x:v>
      </x:c>
      <x:c r="F212" s="15" t="str">
        <x:v>Listen and Repeat</x:v>
      </x:c>
      <x:c r="G212" s="15" t="str">
        <x:v>/Users/josedavidduartesilva/Developer/idiomaswl/public/audio/toefl/set-6/repeat-3.mp3</x:v>
      </x:c>
      <x:c r="H212" s="19" t="n">
        <x:v>3.78</x:v>
      </x:c>
      <x:c r="I212" s="15" t="str">
        <x:v>P3</x:v>
      </x:c>
      <x:c r="J212" s="15" t="str">
        <x:v>stratified_sample_T08</x:v>
      </x:c>
      <x:c r="K212" s="15" t="str">
        <x:v>pass_automated_T06</x:v>
      </x:c>
      <x:c r="L212" s="15" t="str">
        <x:v>none</x:v>
      </x:c>
      <x:c r="M212" s="15" t="str">
        <x:v>none</x:v>
      </x:c>
      <x:c r="N212" s="15" t="str">
        <x:v>conserve_source_technical_candidate</x:v>
      </x:c>
      <x:c r="O212" s="15" t="str">
        <x:v>source_exact_normalized_supported_pending_human</x:v>
      </x:c>
      <x:c r="P212" s="15" t="str">
        <x:v>stratified_human_confirmation</x:v>
      </x:c>
      <x:c r="Q212" s="15" t="str">
        <x:v>The scientists collected samples from three different rivers.</x:v>
      </x:c>
      <x:c r="R212" s="15" t="str">
        <x:v>The scientists collected samples from three different rivers.</x:v>
      </x:c>
      <x:c r="S212" s="15" t="str">
        <x:v>none</x:v>
      </x:c>
      <x:c r="T212" s="15" t="str">
        <x:v>source_contract_preserved_subject_to_T08</x:v>
      </x:c>
      <x:c r="U212" s="15" t="str">
        <x:v>A_linguistic_conserve_candidate</x:v>
      </x:c>
      <x:c r="V212" s="16" t="str">
        <x:v>not_started</x:v>
      </x:c>
      <x:c r="W212" s="16"/>
      <x:c r="X212" s="16"/>
      <x:c r="Y212" s="16"/>
      <x:c r="Z212" s="16"/>
      <x:c r="AA212" s="16"/>
      <x:c r="AB212" s="16"/>
      <x:c r="AC212" s="16"/>
      <x:c r="AD212" s="16"/>
      <x:c r="AE212" s="16"/>
      <x:c r="AF212" s="16"/>
      <x:c r="AG212" s="16"/>
      <x:c r="AH212" s="16"/>
      <x:c r="AI212" s="16"/>
      <x:c r="AJ212" s="16"/>
      <x:c r="AK212" s="16"/>
      <x:c r="AL212" s="16"/>
      <x:c r="AM212" s="16"/>
      <x:c r="AN212" s="16"/>
      <x:c r="AO212" s="16"/>
      <x:c r="AP212" s="16"/>
      <x:c r="AQ212" s="16"/>
      <x:c r="AR212" s="16"/>
      <x:c r="AS212" s="16"/>
      <x:c r="AT212" s="20"/>
      <x:c r="AU212" s="16"/>
      <x:c r="AV212" s="16"/>
      <x:c r="AW212" s="16" t="str">
        <x:v>pending</x:v>
      </x:c>
      <x:c r="AX212" s="17" t="str">
        <x:v>blocked_not_validated</x:v>
      </x:c>
      <x:c r="AY212" s="18" t="str">
        <x:f>IF(OR(C212="yes",X212="corrected",COUNTIF(Z212:AL212,"major")&gt;0,COUNTIF(Z212:AL212,"blocker")&gt;0,OR(AO212="repair",AO212="segment",AO212="replace",AO212="block")),"yes","no")</x:f>
        <x:v>no</x:v>
      </x:c>
      <x:c r="AZ212" s="18" t="str">
        <x:f>IF(AND(V212="reviewed",W212&gt;=1,X212&lt;&gt;"",Y212&lt;&gt;"",COUNTA(Z212:AL212)=13,AM212&lt;&gt;"",AN212&lt;&gt;"",AO212&lt;&gt;"",AP212&lt;&gt;"",AQ212&lt;&gt;"",AR212&lt;&gt;"",AS212="I_listened_at_1x_and_completed_all_required_fields",AT212&lt;&gt;"",AW212="adjudicated",OR(AY212="no",AND(AU212&lt;&gt;"",AV212&lt;&gt;""))),"complete","incomplete")</x:f>
        <x:v>incomplete</x:v>
      </x:c>
      <x:c r="BA212" s="18" t="str">
        <x:f>IF(AZ212="complete","none","faltan campos humanos, adjudicación o segunda revisión")</x:f>
        <x:v>faltan campos humanos, adjudicación o segunda revisión</x:v>
      </x:c>
    </x:row>
    <x:row r="213" ht="36" customHeight="1">
      <x:c r="A213" s="15" t="n">
        <x:v>212</x:v>
      </x:c>
      <x:c r="B213" s="15" t="str">
        <x:v>P3-SAMPLE</x:v>
      </x:c>
      <x:c r="C213" s="15" t="str">
        <x:v>no</x:v>
      </x:c>
      <x:c r="D213" s="15" t="str">
        <x:v>asset:toefl:set-6:part-12:repeat-5</x:v>
      </x:c>
      <x:c r="E213" s="15" t="str">
        <x:v>set-6</x:v>
      </x:c>
      <x:c r="F213" s="15" t="str">
        <x:v>Listen and Repeat</x:v>
      </x:c>
      <x:c r="G213" s="15" t="str">
        <x:v>/Users/josedavidduartesilva/Developer/idiomaswl/public/audio/toefl/set-6/repeat-5.mp3</x:v>
      </x:c>
      <x:c r="H213" s="19" t="n">
        <x:v>5.54</x:v>
      </x:c>
      <x:c r="I213" s="15" t="str">
        <x:v>P3</x:v>
      </x:c>
      <x:c r="J213" s="15" t="str">
        <x:v>stratified_sample_T08</x:v>
      </x:c>
      <x:c r="K213" s="15" t="str">
        <x:v>pass_automated_T06</x:v>
      </x:c>
      <x:c r="L213" s="15" t="str">
        <x:v>none</x:v>
      </x:c>
      <x:c r="M213" s="15" t="str">
        <x:v>none</x:v>
      </x:c>
      <x:c r="N213" s="15" t="str">
        <x:v>conserve_source_technical_candidate</x:v>
      </x:c>
      <x:c r="O213" s="15" t="str">
        <x:v>source_exact_normalized_supported_pending_human</x:v>
      </x:c>
      <x:c r="P213" s="15" t="str">
        <x:v>stratified_human_confirmation</x:v>
      </x:c>
      <x:c r="Q213" s="15" t="str">
        <x:v>Before the museum opened to the public, the paintings were carefully restored by experts.</x:v>
      </x:c>
      <x:c r="R213" s="15" t="str">
        <x:v>Before the museum opened to the public, the paintings were carefully restored by experts.</x:v>
      </x:c>
      <x:c r="S213" s="15" t="str">
        <x:v>none</x:v>
      </x:c>
      <x:c r="T213" s="15" t="str">
        <x:v>source_contract_preserved_subject_to_T08</x:v>
      </x:c>
      <x:c r="U213" s="15" t="str">
        <x:v>A_linguistic_conserve_candidate</x:v>
      </x:c>
      <x:c r="V213" s="16" t="str">
        <x:v>not_started</x:v>
      </x:c>
      <x:c r="W213" s="16"/>
      <x:c r="X213" s="16"/>
      <x:c r="Y213" s="16"/>
      <x:c r="Z213" s="16"/>
      <x:c r="AA213" s="16"/>
      <x:c r="AB213" s="16"/>
      <x:c r="AC213" s="16"/>
      <x:c r="AD213" s="16"/>
      <x:c r="AE213" s="16"/>
      <x:c r="AF213" s="16"/>
      <x:c r="AG213" s="16"/>
      <x:c r="AH213" s="16"/>
      <x:c r="AI213" s="16"/>
      <x:c r="AJ213" s="16"/>
      <x:c r="AK213" s="16"/>
      <x:c r="AL213" s="16"/>
      <x:c r="AM213" s="16"/>
      <x:c r="AN213" s="16"/>
      <x:c r="AO213" s="16"/>
      <x:c r="AP213" s="16"/>
      <x:c r="AQ213" s="16"/>
      <x:c r="AR213" s="16"/>
      <x:c r="AS213" s="16"/>
      <x:c r="AT213" s="20"/>
      <x:c r="AU213" s="16"/>
      <x:c r="AV213" s="16"/>
      <x:c r="AW213" s="16" t="str">
        <x:v>pending</x:v>
      </x:c>
      <x:c r="AX213" s="17" t="str">
        <x:v>blocked_not_validated</x:v>
      </x:c>
      <x:c r="AY213" s="18" t="str">
        <x:f>IF(OR(C213="yes",X213="corrected",COUNTIF(Z213:AL213,"major")&gt;0,COUNTIF(Z213:AL213,"blocker")&gt;0,OR(AO213="repair",AO213="segment",AO213="replace",AO213="block")),"yes","no")</x:f>
        <x:v>no</x:v>
      </x:c>
      <x:c r="AZ213" s="18" t="str">
        <x:f>IF(AND(V213="reviewed",W213&gt;=1,X213&lt;&gt;"",Y213&lt;&gt;"",COUNTA(Z213:AL213)=13,AM213&lt;&gt;"",AN213&lt;&gt;"",AO213&lt;&gt;"",AP213&lt;&gt;"",AQ213&lt;&gt;"",AR213&lt;&gt;"",AS213="I_listened_at_1x_and_completed_all_required_fields",AT213&lt;&gt;"",AW213="adjudicated",OR(AY213="no",AND(AU213&lt;&gt;"",AV213&lt;&gt;""))),"complete","incomplete")</x:f>
        <x:v>incomplete</x:v>
      </x:c>
      <x:c r="BA213" s="18" t="str">
        <x:f>IF(AZ213="complete","none","faltan campos humanos, adjudicación o segunda revisión")</x:f>
        <x:v>faltan campos humanos, adjudicación o segunda revisión</x:v>
      </x:c>
    </x:row>
    <x:row r="214" ht="36" customHeight="1">
      <x:c r="A214" s="15" t="n">
        <x:v>213</x:v>
      </x:c>
      <x:c r="B214" s="15" t="str">
        <x:v>P3-SAMPLE</x:v>
      </x:c>
      <x:c r="C214" s="15" t="str">
        <x:v>no</x:v>
      </x:c>
      <x:c r="D214" s="15" t="str">
        <x:v>asset:toefl:set-7:part-12:repeat-1</x:v>
      </x:c>
      <x:c r="E214" s="15" t="str">
        <x:v>set-7</x:v>
      </x:c>
      <x:c r="F214" s="15" t="str">
        <x:v>Listen and Repeat</x:v>
      </x:c>
      <x:c r="G214" s="15" t="str">
        <x:v>/Users/josedavidduartesilva/Developer/idiomaswl/public/audio/toefl/set-7/repeat-1.mp3</x:v>
      </x:c>
      <x:c r="H214" s="19" t="n">
        <x:v>2.02</x:v>
      </x:c>
      <x:c r="I214" s="15" t="str">
        <x:v>P3</x:v>
      </x:c>
      <x:c r="J214" s="15" t="str">
        <x:v>stratified_sample_T08</x:v>
      </x:c>
      <x:c r="K214" s="15" t="str">
        <x:v>pass_automated_T06</x:v>
      </x:c>
      <x:c r="L214" s="15" t="str">
        <x:v>none</x:v>
      </x:c>
      <x:c r="M214" s="15" t="str">
        <x:v>none</x:v>
      </x:c>
      <x:c r="N214" s="15" t="str">
        <x:v>conserve_source_technical_candidate</x:v>
      </x:c>
      <x:c r="O214" s="15" t="str">
        <x:v>source_exact_normalized_supported_pending_human</x:v>
      </x:c>
      <x:c r="P214" s="15" t="str">
        <x:v>stratified_human_confirmation</x:v>
      </x:c>
      <x:c r="Q214" s="15" t="str">
        <x:v>The class starts at ten.</x:v>
      </x:c>
      <x:c r="R214" s="15" t="str">
        <x:v>The class starts at 10.</x:v>
      </x:c>
      <x:c r="S214" s="15" t="str">
        <x:v>none</x:v>
      </x:c>
      <x:c r="T214" s="15" t="str">
        <x:v>source_contract_preserved_subject_to_T08</x:v>
      </x:c>
      <x:c r="U214" s="15" t="str">
        <x:v>A_linguistic_conserve_candidate</x:v>
      </x:c>
      <x:c r="V214" s="16" t="str">
        <x:v>not_started</x:v>
      </x:c>
      <x:c r="W214" s="16"/>
      <x:c r="X214" s="16"/>
      <x:c r="Y214" s="16"/>
      <x:c r="Z214" s="16"/>
      <x:c r="AA214" s="16"/>
      <x:c r="AB214" s="16"/>
      <x:c r="AC214" s="16"/>
      <x:c r="AD214" s="16"/>
      <x:c r="AE214" s="16"/>
      <x:c r="AF214" s="16"/>
      <x:c r="AG214" s="16"/>
      <x:c r="AH214" s="16"/>
      <x:c r="AI214" s="16"/>
      <x:c r="AJ214" s="16"/>
      <x:c r="AK214" s="16"/>
      <x:c r="AL214" s="16"/>
      <x:c r="AM214" s="16"/>
      <x:c r="AN214" s="16"/>
      <x:c r="AO214" s="16"/>
      <x:c r="AP214" s="16"/>
      <x:c r="AQ214" s="16"/>
      <x:c r="AR214" s="16"/>
      <x:c r="AS214" s="16"/>
      <x:c r="AT214" s="20"/>
      <x:c r="AU214" s="16"/>
      <x:c r="AV214" s="16"/>
      <x:c r="AW214" s="16" t="str">
        <x:v>pending</x:v>
      </x:c>
      <x:c r="AX214" s="17" t="str">
        <x:v>blocked_not_validated</x:v>
      </x:c>
      <x:c r="AY214" s="18" t="str">
        <x:f>IF(OR(C214="yes",X214="corrected",COUNTIF(Z214:AL214,"major")&gt;0,COUNTIF(Z214:AL214,"blocker")&gt;0,OR(AO214="repair",AO214="segment",AO214="replace",AO214="block")),"yes","no")</x:f>
        <x:v>no</x:v>
      </x:c>
      <x:c r="AZ214" s="18" t="str">
        <x:f>IF(AND(V214="reviewed",W214&gt;=1,X214&lt;&gt;"",Y214&lt;&gt;"",COUNTA(Z214:AL214)=13,AM214&lt;&gt;"",AN214&lt;&gt;"",AO214&lt;&gt;"",AP214&lt;&gt;"",AQ214&lt;&gt;"",AR214&lt;&gt;"",AS214="I_listened_at_1x_and_completed_all_required_fields",AT214&lt;&gt;"",AW214="adjudicated",OR(AY214="no",AND(AU214&lt;&gt;"",AV214&lt;&gt;""))),"complete","incomplete")</x:f>
        <x:v>incomplete</x:v>
      </x:c>
      <x:c r="BA214" s="18" t="str">
        <x:f>IF(AZ214="complete","none","faltan campos humanos, adjudicación o segunda revisión")</x:f>
        <x:v>faltan campos humanos, adjudicación o segunda revisión</x:v>
      </x:c>
    </x:row>
    <x:row r="215" ht="36" customHeight="1">
      <x:c r="A215" s="15" t="n">
        <x:v>214</x:v>
      </x:c>
      <x:c r="B215" s="15" t="str">
        <x:v>P3-SAMPLE</x:v>
      </x:c>
      <x:c r="C215" s="15" t="str">
        <x:v>no</x:v>
      </x:c>
      <x:c r="D215" s="15" t="str">
        <x:v>asset:toefl:set-7:part-12:repeat-2</x:v>
      </x:c>
      <x:c r="E215" s="15" t="str">
        <x:v>set-7</x:v>
      </x:c>
      <x:c r="F215" s="15" t="str">
        <x:v>Listen and Repeat</x:v>
      </x:c>
      <x:c r="G215" s="15" t="str">
        <x:v>/Users/josedavidduartesilva/Developer/idiomaswl/public/audio/toefl/set-7/repeat-2.mp3</x:v>
      </x:c>
      <x:c r="H215" s="19" t="n">
        <x:v>2.58</x:v>
      </x:c>
      <x:c r="I215" s="15" t="str">
        <x:v>P3</x:v>
      </x:c>
      <x:c r="J215" s="15" t="str">
        <x:v>stratified_sample_T08</x:v>
      </x:c>
      <x:c r="K215" s="15" t="str">
        <x:v>pass_with_actionable_warning</x:v>
      </x:c>
      <x:c r="L215" s="15" t="str">
        <x:v>none</x:v>
      </x:c>
      <x:c r="M215" s="15" t="str">
        <x:v>TECH-LDN-003</x:v>
      </x:c>
      <x:c r="N215" s="15" t="str">
        <x:v>review_warning_in_T08_before_conserve</x:v>
      </x:c>
      <x:c r="O215" s="15" t="str">
        <x:v>source_exact_normalized_supported_pending_human</x:v>
      </x:c>
      <x:c r="P215" s="15" t="str">
        <x:v>stratified_human_confirmation</x:v>
      </x:c>
      <x:c r="Q215" s="15" t="str">
        <x:v>She locked the door and left for work.</x:v>
      </x:c>
      <x:c r="R215" s="15" t="str">
        <x:v>She locked the door and left for work.</x:v>
      </x:c>
      <x:c r="S215" s="15" t="str">
        <x:v>none</x:v>
      </x:c>
      <x:c r="T215" s="15" t="str">
        <x:v>source_contract_preserved_subject_to_T08</x:v>
      </x:c>
      <x:c r="U215" s="15" t="str">
        <x:v>A_linguistic_conserve_candidate</x:v>
      </x:c>
      <x:c r="V215" s="16" t="str">
        <x:v>not_started</x:v>
      </x:c>
      <x:c r="W215" s="16"/>
      <x:c r="X215" s="16"/>
      <x:c r="Y215" s="16"/>
      <x:c r="Z215" s="16"/>
      <x:c r="AA215" s="16"/>
      <x:c r="AB215" s="16"/>
      <x:c r="AC215" s="16"/>
      <x:c r="AD215" s="16"/>
      <x:c r="AE215" s="16"/>
      <x:c r="AF215" s="16"/>
      <x:c r="AG215" s="16"/>
      <x:c r="AH215" s="16"/>
      <x:c r="AI215" s="16"/>
      <x:c r="AJ215" s="16"/>
      <x:c r="AK215" s="16"/>
      <x:c r="AL215" s="16"/>
      <x:c r="AM215" s="16"/>
      <x:c r="AN215" s="16"/>
      <x:c r="AO215" s="16"/>
      <x:c r="AP215" s="16"/>
      <x:c r="AQ215" s="16"/>
      <x:c r="AR215" s="16"/>
      <x:c r="AS215" s="16"/>
      <x:c r="AT215" s="20"/>
      <x:c r="AU215" s="16"/>
      <x:c r="AV215" s="16"/>
      <x:c r="AW215" s="16" t="str">
        <x:v>pending</x:v>
      </x:c>
      <x:c r="AX215" s="17" t="str">
        <x:v>blocked_not_validated</x:v>
      </x:c>
      <x:c r="AY215" s="18" t="str">
        <x:f>IF(OR(C215="yes",X215="corrected",COUNTIF(Z215:AL215,"major")&gt;0,COUNTIF(Z215:AL215,"blocker")&gt;0,OR(AO215="repair",AO215="segment",AO215="replace",AO215="block")),"yes","no")</x:f>
        <x:v>no</x:v>
      </x:c>
      <x:c r="AZ215" s="18" t="str">
        <x:f>IF(AND(V215="reviewed",W215&gt;=1,X215&lt;&gt;"",Y215&lt;&gt;"",COUNTA(Z215:AL215)=13,AM215&lt;&gt;"",AN215&lt;&gt;"",AO215&lt;&gt;"",AP215&lt;&gt;"",AQ215&lt;&gt;"",AR215&lt;&gt;"",AS215="I_listened_at_1x_and_completed_all_required_fields",AT215&lt;&gt;"",AW215="adjudicated",OR(AY215="no",AND(AU215&lt;&gt;"",AV215&lt;&gt;""))),"complete","incomplete")</x:f>
        <x:v>incomplete</x:v>
      </x:c>
      <x:c r="BA215" s="18" t="str">
        <x:f>IF(AZ215="complete","none","faltan campos humanos, adjudicación o segunda revisión")</x:f>
        <x:v>faltan campos humanos, adjudicación o segunda revisión</x:v>
      </x:c>
    </x:row>
    <x:row r="216" ht="36" customHeight="1">
      <x:c r="A216" s="15" t="n">
        <x:v>215</x:v>
      </x:c>
      <x:c r="B216" s="15" t="str">
        <x:v>P3-SAMPLE</x:v>
      </x:c>
      <x:c r="C216" s="15" t="str">
        <x:v>no</x:v>
      </x:c>
      <x:c r="D216" s="15" t="str">
        <x:v>asset:toefl:set-7:part-12:repeat-3</x:v>
      </x:c>
      <x:c r="E216" s="15" t="str">
        <x:v>set-7</x:v>
      </x:c>
      <x:c r="F216" s="15" t="str">
        <x:v>Listen and Repeat</x:v>
      </x:c>
      <x:c r="G216" s="15" t="str">
        <x:v>/Users/josedavidduartesilva/Developer/idiomaswl/public/audio/toefl/set-7/repeat-3.mp3</x:v>
      </x:c>
      <x:c r="H216" s="19" t="n">
        <x:v>3.38</x:v>
      </x:c>
      <x:c r="I216" s="15" t="str">
        <x:v>P3</x:v>
      </x:c>
      <x:c r="J216" s="15" t="str">
        <x:v>stratified_sample_T08</x:v>
      </x:c>
      <x:c r="K216" s="15" t="str">
        <x:v>pass_with_actionable_warning</x:v>
      </x:c>
      <x:c r="L216" s="15" t="str">
        <x:v>none</x:v>
      </x:c>
      <x:c r="M216" s="15" t="str">
        <x:v>TECH-LDN-003</x:v>
      </x:c>
      <x:c r="N216" s="15" t="str">
        <x:v>review_warning_in_T08_before_conserve</x:v>
      </x:c>
      <x:c r="O216" s="15" t="str">
        <x:v>source_exact_normalized_supported_pending_human</x:v>
      </x:c>
      <x:c r="P216" s="15" t="str">
        <x:v>stratified_human_confirmation</x:v>
      </x:c>
      <x:c r="Q216" s="15" t="str">
        <x:v>The team presented their findings at the conference last week.</x:v>
      </x:c>
      <x:c r="R216" s="15" t="str">
        <x:v>The team presented their findings at the conference last week.</x:v>
      </x:c>
      <x:c r="S216" s="15" t="str">
        <x:v>none</x:v>
      </x:c>
      <x:c r="T216" s="15" t="str">
        <x:v>source_contract_preserved_subject_to_T08</x:v>
      </x:c>
      <x:c r="U216" s="15" t="str">
        <x:v>A_linguistic_conserve_candidate</x:v>
      </x:c>
      <x:c r="V216" s="16" t="str">
        <x:v>not_started</x:v>
      </x:c>
      <x:c r="W216" s="16"/>
      <x:c r="X216" s="16"/>
      <x:c r="Y216" s="16"/>
      <x:c r="Z216" s="16"/>
      <x:c r="AA216" s="16"/>
      <x:c r="AB216" s="16"/>
      <x:c r="AC216" s="16"/>
      <x:c r="AD216" s="16"/>
      <x:c r="AE216" s="16"/>
      <x:c r="AF216" s="16"/>
      <x:c r="AG216" s="16"/>
      <x:c r="AH216" s="16"/>
      <x:c r="AI216" s="16"/>
      <x:c r="AJ216" s="16"/>
      <x:c r="AK216" s="16"/>
      <x:c r="AL216" s="16"/>
      <x:c r="AM216" s="16"/>
      <x:c r="AN216" s="16"/>
      <x:c r="AO216" s="16"/>
      <x:c r="AP216" s="16"/>
      <x:c r="AQ216" s="16"/>
      <x:c r="AR216" s="16"/>
      <x:c r="AS216" s="16"/>
      <x:c r="AT216" s="20"/>
      <x:c r="AU216" s="16"/>
      <x:c r="AV216" s="16"/>
      <x:c r="AW216" s="16" t="str">
        <x:v>pending</x:v>
      </x:c>
      <x:c r="AX216" s="17" t="str">
        <x:v>blocked_not_validated</x:v>
      </x:c>
      <x:c r="AY216" s="18" t="str">
        <x:f>IF(OR(C216="yes",X216="corrected",COUNTIF(Z216:AL216,"major")&gt;0,COUNTIF(Z216:AL216,"blocker")&gt;0,OR(AO216="repair",AO216="segment",AO216="replace",AO216="block")),"yes","no")</x:f>
        <x:v>no</x:v>
      </x:c>
      <x:c r="AZ216" s="18" t="str">
        <x:f>IF(AND(V216="reviewed",W216&gt;=1,X216&lt;&gt;"",Y216&lt;&gt;"",COUNTA(Z216:AL216)=13,AM216&lt;&gt;"",AN216&lt;&gt;"",AO216&lt;&gt;"",AP216&lt;&gt;"",AQ216&lt;&gt;"",AR216&lt;&gt;"",AS216="I_listened_at_1x_and_completed_all_required_fields",AT216&lt;&gt;"",AW216="adjudicated",OR(AY216="no",AND(AU216&lt;&gt;"",AV216&lt;&gt;""))),"complete","incomplete")</x:f>
        <x:v>incomplete</x:v>
      </x:c>
      <x:c r="BA216" s="18" t="str">
        <x:f>IF(AZ216="complete","none","faltan campos humanos, adjudicación o segunda revisión")</x:f>
        <x:v>faltan campos humanos, adjudicación o segunda revisión</x:v>
      </x:c>
    </x:row>
    <x:row r="217" ht="36" customHeight="1">
      <x:c r="A217" s="15" t="n">
        <x:v>216</x:v>
      </x:c>
      <x:c r="B217" s="15" t="str">
        <x:v>P3-SAMPLE</x:v>
      </x:c>
      <x:c r="C217" s="15" t="str">
        <x:v>no</x:v>
      </x:c>
      <x:c r="D217" s="15" t="str">
        <x:v>asset:toefl:set-7:part-12:repeat-4</x:v>
      </x:c>
      <x:c r="E217" s="15" t="str">
        <x:v>set-7</x:v>
      </x:c>
      <x:c r="F217" s="15" t="str">
        <x:v>Listen and Repeat</x:v>
      </x:c>
      <x:c r="G217" s="15" t="str">
        <x:v>/Users/josedavidduartesilva/Developer/idiomaswl/public/audio/toefl/set-7/repeat-4.mp3</x:v>
      </x:c>
      <x:c r="H217" s="19" t="n">
        <x:v>4.181</x:v>
      </x:c>
      <x:c r="I217" s="15" t="str">
        <x:v>P3</x:v>
      </x:c>
      <x:c r="J217" s="15" t="str">
        <x:v>stratified_sample_T08</x:v>
      </x:c>
      <x:c r="K217" s="15" t="str">
        <x:v>pass_automated_T06</x:v>
      </x:c>
      <x:c r="L217" s="15" t="str">
        <x:v>none</x:v>
      </x:c>
      <x:c r="M217" s="15" t="str">
        <x:v>none</x:v>
      </x:c>
      <x:c r="N217" s="15" t="str">
        <x:v>conserve_source_technical_candidate</x:v>
      </x:c>
      <x:c r="O217" s="15" t="str">
        <x:v>source_exact_normalized_supported_pending_human</x:v>
      </x:c>
      <x:c r="P217" s="15" t="str">
        <x:v>stratified_human_confirmation</x:v>
      </x:c>
      <x:c r="Q217" s="15" t="str">
        <x:v>The bridge that connects the two towns was built over a century ago.</x:v>
      </x:c>
      <x:c r="R217" s="15" t="str">
        <x:v>The bridge that connects the two towns was built over a century ago.</x:v>
      </x:c>
      <x:c r="S217" s="15" t="str">
        <x:v>none</x:v>
      </x:c>
      <x:c r="T217" s="15" t="str">
        <x:v>source_contract_preserved_subject_to_T08</x:v>
      </x:c>
      <x:c r="U217" s="15" t="str">
        <x:v>A_linguistic_conserve_candidate</x:v>
      </x:c>
      <x:c r="V217" s="16" t="str">
        <x:v>not_started</x:v>
      </x:c>
      <x:c r="W217" s="16"/>
      <x:c r="X217" s="16"/>
      <x:c r="Y217" s="16"/>
      <x:c r="Z217" s="16"/>
      <x:c r="AA217" s="16"/>
      <x:c r="AB217" s="16"/>
      <x:c r="AC217" s="16"/>
      <x:c r="AD217" s="16"/>
      <x:c r="AE217" s="16"/>
      <x:c r="AF217" s="16"/>
      <x:c r="AG217" s="16"/>
      <x:c r="AH217" s="16"/>
      <x:c r="AI217" s="16"/>
      <x:c r="AJ217" s="16"/>
      <x:c r="AK217" s="16"/>
      <x:c r="AL217" s="16"/>
      <x:c r="AM217" s="16"/>
      <x:c r="AN217" s="16"/>
      <x:c r="AO217" s="16"/>
      <x:c r="AP217" s="16"/>
      <x:c r="AQ217" s="16"/>
      <x:c r="AR217" s="16"/>
      <x:c r="AS217" s="16"/>
      <x:c r="AT217" s="20"/>
      <x:c r="AU217" s="16"/>
      <x:c r="AV217" s="16"/>
      <x:c r="AW217" s="16" t="str">
        <x:v>pending</x:v>
      </x:c>
      <x:c r="AX217" s="17" t="str">
        <x:v>blocked_not_validated</x:v>
      </x:c>
      <x:c r="AY217" s="18" t="str">
        <x:f>IF(OR(C217="yes",X217="corrected",COUNTIF(Z217:AL217,"major")&gt;0,COUNTIF(Z217:AL217,"blocker")&gt;0,OR(AO217="repair",AO217="segment",AO217="replace",AO217="block")),"yes","no")</x:f>
        <x:v>no</x:v>
      </x:c>
      <x:c r="AZ217" s="18" t="str">
        <x:f>IF(AND(V217="reviewed",W217&gt;=1,X217&lt;&gt;"",Y217&lt;&gt;"",COUNTA(Z217:AL217)=13,AM217&lt;&gt;"",AN217&lt;&gt;"",AO217&lt;&gt;"",AP217&lt;&gt;"",AQ217&lt;&gt;"",AR217&lt;&gt;"",AS217="I_listened_at_1x_and_completed_all_required_fields",AT217&lt;&gt;"",AW217="adjudicated",OR(AY217="no",AND(AU217&lt;&gt;"",AV217&lt;&gt;""))),"complete","incomplete")</x:f>
        <x:v>incomplete</x:v>
      </x:c>
      <x:c r="BA217" s="18" t="str">
        <x:f>IF(AZ217="complete","none","faltan campos humanos, adjudicación o segunda revisión")</x:f>
        <x:v>faltan campos humanos, adjudicación o segunda revisión</x:v>
      </x:c>
    </x:row>
    <x:row r="218" ht="36" customHeight="1">
      <x:c r="A218" s="15" t="n">
        <x:v>217</x:v>
      </x:c>
      <x:c r="B218" s="15" t="str">
        <x:v>P3-SAMPLE</x:v>
      </x:c>
      <x:c r="C218" s="15" t="str">
        <x:v>no</x:v>
      </x:c>
      <x:c r="D218" s="15" t="str">
        <x:v>asset:toefl:set-7:part-12:repeat-5</x:v>
      </x:c>
      <x:c r="E218" s="15" t="str">
        <x:v>set-7</x:v>
      </x:c>
      <x:c r="F218" s="15" t="str">
        <x:v>Listen and Repeat</x:v>
      </x:c>
      <x:c r="G218" s="15" t="str">
        <x:v>/Users/josedavidduartesilva/Developer/idiomaswl/public/audio/toefl/set-7/repeat-5.mp3</x:v>
      </x:c>
      <x:c r="H218" s="19" t="n">
        <x:v>4.82</x:v>
      </x:c>
      <x:c r="I218" s="15" t="str">
        <x:v>P3</x:v>
      </x:c>
      <x:c r="J218" s="15" t="str">
        <x:v>stratified_sample_T08</x:v>
      </x:c>
      <x:c r="K218" s="15" t="str">
        <x:v>pass_with_actionable_warning</x:v>
      </x:c>
      <x:c r="L218" s="15" t="str">
        <x:v>none</x:v>
      </x:c>
      <x:c r="M218" s="15" t="str">
        <x:v>TECH-PEAK-003</x:v>
      </x:c>
      <x:c r="N218" s="15" t="str">
        <x:v>review_warning_in_T08_before_conserve</x:v>
      </x:c>
      <x:c r="O218" s="15" t="str">
        <x:v>source_exact_normalized_supported_pending_human</x:v>
      </x:c>
      <x:c r="P218" s="15" t="str">
        <x:v>stratified_human_confirmation</x:v>
      </x:c>
      <x:c r="Q218" s="15" t="str">
        <x:v>Once the results have been reviewed, the committee will announce its decision to the applicants.</x:v>
      </x:c>
      <x:c r="R218" s="15" t="str">
        <x:v>Once the results have been reviewed, the committee will announce its decision to the applicants.</x:v>
      </x:c>
      <x:c r="S218" s="15" t="str">
        <x:v>none</x:v>
      </x:c>
      <x:c r="T218" s="15" t="str">
        <x:v>source_contract_preserved_subject_to_T08</x:v>
      </x:c>
      <x:c r="U218" s="15" t="str">
        <x:v>A_linguistic_conserve_candidate</x:v>
      </x:c>
      <x:c r="V218" s="16" t="str">
        <x:v>not_started</x:v>
      </x:c>
      <x:c r="W218" s="16"/>
      <x:c r="X218" s="16"/>
      <x:c r="Y218" s="16"/>
      <x:c r="Z218" s="16"/>
      <x:c r="AA218" s="16"/>
      <x:c r="AB218" s="16"/>
      <x:c r="AC218" s="16"/>
      <x:c r="AD218" s="16"/>
      <x:c r="AE218" s="16"/>
      <x:c r="AF218" s="16"/>
      <x:c r="AG218" s="16"/>
      <x:c r="AH218" s="16"/>
      <x:c r="AI218" s="16"/>
      <x:c r="AJ218" s="16"/>
      <x:c r="AK218" s="16"/>
      <x:c r="AL218" s="16"/>
      <x:c r="AM218" s="16"/>
      <x:c r="AN218" s="16"/>
      <x:c r="AO218" s="16"/>
      <x:c r="AP218" s="16"/>
      <x:c r="AQ218" s="16"/>
      <x:c r="AR218" s="16"/>
      <x:c r="AS218" s="16"/>
      <x:c r="AT218" s="20"/>
      <x:c r="AU218" s="16"/>
      <x:c r="AV218" s="16"/>
      <x:c r="AW218" s="16" t="str">
        <x:v>pending</x:v>
      </x:c>
      <x:c r="AX218" s="17" t="str">
        <x:v>blocked_not_validated</x:v>
      </x:c>
      <x:c r="AY218" s="18" t="str">
        <x:f>IF(OR(C218="yes",X218="corrected",COUNTIF(Z218:AL218,"major")&gt;0,COUNTIF(Z218:AL218,"blocker")&gt;0,OR(AO218="repair",AO218="segment",AO218="replace",AO218="block")),"yes","no")</x:f>
        <x:v>no</x:v>
      </x:c>
      <x:c r="AZ218" s="18" t="str">
        <x:f>IF(AND(V218="reviewed",W218&gt;=1,X218&lt;&gt;"",Y218&lt;&gt;"",COUNTA(Z218:AL218)=13,AM218&lt;&gt;"",AN218&lt;&gt;"",AO218&lt;&gt;"",AP218&lt;&gt;"",AQ218&lt;&gt;"",AR218&lt;&gt;"",AS218="I_listened_at_1x_and_completed_all_required_fields",AT218&lt;&gt;"",AW218="adjudicated",OR(AY218="no",AND(AU218&lt;&gt;"",AV218&lt;&gt;""))),"complete","incomplete")</x:f>
        <x:v>incomplete</x:v>
      </x:c>
      <x:c r="BA218" s="18" t="str">
        <x:f>IF(AZ218="complete","none","faltan campos humanos, adjudicación o segunda revisión")</x:f>
        <x:v>faltan campos humanos, adjudicación o segunda revisión</x:v>
      </x:c>
    </x:row>
    <x:row r="219" ht="36" customHeight="1">
      <x:c r="A219" s="15" t="n">
        <x:v>218</x:v>
      </x:c>
      <x:c r="B219" s="15" t="str">
        <x:v>P3-SAMPLE</x:v>
      </x:c>
      <x:c r="C219" s="15" t="str">
        <x:v>no</x:v>
      </x:c>
      <x:c r="D219" s="15" t="str">
        <x:v>asset:toefl:set-8:part-12:repeat-2</x:v>
      </x:c>
      <x:c r="E219" s="15" t="str">
        <x:v>set-8</x:v>
      </x:c>
      <x:c r="F219" s="15" t="str">
        <x:v>Listen and Repeat</x:v>
      </x:c>
      <x:c r="G219" s="15" t="str">
        <x:v>/Users/josedavidduartesilva/Developer/idiomaswl/public/audio/toefl/set-8/repeat-2.mp3</x:v>
      </x:c>
      <x:c r="H219" s="19" t="n">
        <x:v>2.98</x:v>
      </x:c>
      <x:c r="I219" s="15" t="str">
        <x:v>P3</x:v>
      </x:c>
      <x:c r="J219" s="15" t="str">
        <x:v>stratified_sample_T08</x:v>
      </x:c>
      <x:c r="K219" s="15" t="str">
        <x:v>pass_automated_T06</x:v>
      </x:c>
      <x:c r="L219" s="15" t="str">
        <x:v>none</x:v>
      </x:c>
      <x:c r="M219" s="15" t="str">
        <x:v>none</x:v>
      </x:c>
      <x:c r="N219" s="15" t="str">
        <x:v>conserve_source_technical_candidate</x:v>
      </x:c>
      <x:c r="O219" s="15" t="str">
        <x:v>source_exact_normalized_supported_pending_human</x:v>
      </x:c>
      <x:c r="P219" s="15" t="str">
        <x:v>stratified_human_confirmation</x:v>
      </x:c>
      <x:c r="Q219" s="15" t="str">
        <x:v>He forgot his keys, so he waited outside.</x:v>
      </x:c>
      <x:c r="R219" s="15" t="str">
        <x:v>He forgot his keys, so he waited outside.</x:v>
      </x:c>
      <x:c r="S219" s="15" t="str">
        <x:v>none</x:v>
      </x:c>
      <x:c r="T219" s="15" t="str">
        <x:v>source_contract_preserved_subject_to_T08</x:v>
      </x:c>
      <x:c r="U219" s="15" t="str">
        <x:v>A_linguistic_conserve_candidate</x:v>
      </x:c>
      <x:c r="V219" s="16" t="str">
        <x:v>not_started</x:v>
      </x:c>
      <x:c r="W219" s="16"/>
      <x:c r="X219" s="16"/>
      <x:c r="Y219" s="16"/>
      <x:c r="Z219" s="16"/>
      <x:c r="AA219" s="16"/>
      <x:c r="AB219" s="16"/>
      <x:c r="AC219" s="16"/>
      <x:c r="AD219" s="16"/>
      <x:c r="AE219" s="16"/>
      <x:c r="AF219" s="16"/>
      <x:c r="AG219" s="16"/>
      <x:c r="AH219" s="16"/>
      <x:c r="AI219" s="16"/>
      <x:c r="AJ219" s="16"/>
      <x:c r="AK219" s="16"/>
      <x:c r="AL219" s="16"/>
      <x:c r="AM219" s="16"/>
      <x:c r="AN219" s="16"/>
      <x:c r="AO219" s="16"/>
      <x:c r="AP219" s="16"/>
      <x:c r="AQ219" s="16"/>
      <x:c r="AR219" s="16"/>
      <x:c r="AS219" s="16"/>
      <x:c r="AT219" s="20"/>
      <x:c r="AU219" s="16"/>
      <x:c r="AV219" s="16"/>
      <x:c r="AW219" s="16" t="str">
        <x:v>pending</x:v>
      </x:c>
      <x:c r="AX219" s="17" t="str">
        <x:v>blocked_not_validated</x:v>
      </x:c>
      <x:c r="AY219" s="18" t="str">
        <x:f>IF(OR(C219="yes",X219="corrected",COUNTIF(Z219:AL219,"major")&gt;0,COUNTIF(Z219:AL219,"blocker")&gt;0,OR(AO219="repair",AO219="segment",AO219="replace",AO219="block")),"yes","no")</x:f>
        <x:v>no</x:v>
      </x:c>
      <x:c r="AZ219" s="18" t="str">
        <x:f>IF(AND(V219="reviewed",W219&gt;=1,X219&lt;&gt;"",Y219&lt;&gt;"",COUNTA(Z219:AL219)=13,AM219&lt;&gt;"",AN219&lt;&gt;"",AO219&lt;&gt;"",AP219&lt;&gt;"",AQ219&lt;&gt;"",AR219&lt;&gt;"",AS219="I_listened_at_1x_and_completed_all_required_fields",AT219&lt;&gt;"",AW219="adjudicated",OR(AY219="no",AND(AU219&lt;&gt;"",AV219&lt;&gt;""))),"complete","incomplete")</x:f>
        <x:v>incomplete</x:v>
      </x:c>
      <x:c r="BA219" s="18" t="str">
        <x:f>IF(AZ219="complete","none","faltan campos humanos, adjudicación o segunda revisión")</x:f>
        <x:v>faltan campos humanos, adjudicación o segunda revisión</x:v>
      </x:c>
    </x:row>
    <x:row r="220" ht="36" customHeight="1">
      <x:c r="A220" s="15" t="n">
        <x:v>219</x:v>
      </x:c>
      <x:c r="B220" s="15" t="str">
        <x:v>P3-SAMPLE</x:v>
      </x:c>
      <x:c r="C220" s="15" t="str">
        <x:v>no</x:v>
      </x:c>
      <x:c r="D220" s="15" t="str">
        <x:v>asset:toefl:set-8:part-12:repeat-3</x:v>
      </x:c>
      <x:c r="E220" s="15" t="str">
        <x:v>set-8</x:v>
      </x:c>
      <x:c r="F220" s="15" t="str">
        <x:v>Listen and Repeat</x:v>
      </x:c>
      <x:c r="G220" s="15" t="str">
        <x:v>/Users/josedavidduartesilva/Developer/idiomaswl/public/audio/toefl/set-8/repeat-3.mp3</x:v>
      </x:c>
      <x:c r="H220" s="19" t="n">
        <x:v>3.22</x:v>
      </x:c>
      <x:c r="I220" s="15" t="str">
        <x:v>P3</x:v>
      </x:c>
      <x:c r="J220" s="15" t="str">
        <x:v>stratified_sample_T08</x:v>
      </x:c>
      <x:c r="K220" s="15" t="str">
        <x:v>pass_automated_T06</x:v>
      </x:c>
      <x:c r="L220" s="15" t="str">
        <x:v>none</x:v>
      </x:c>
      <x:c r="M220" s="15" t="str">
        <x:v>none</x:v>
      </x:c>
      <x:c r="N220" s="15" t="str">
        <x:v>conserve_source_technical_candidate</x:v>
      </x:c>
      <x:c r="O220" s="15" t="str">
        <x:v>source_exact_normalized_supported_pending_human</x:v>
      </x:c>
      <x:c r="P220" s="15" t="str">
        <x:v>stratified_human_confirmation</x:v>
      </x:c>
      <x:c r="Q220" s="15" t="str">
        <x:v>The company launched a new product earlier this month.</x:v>
      </x:c>
      <x:c r="R220" s="15" t="str">
        <x:v>The company launched a new product earlier this month.</x:v>
      </x:c>
      <x:c r="S220" s="15" t="str">
        <x:v>none</x:v>
      </x:c>
      <x:c r="T220" s="15" t="str">
        <x:v>source_contract_preserved_subject_to_T08</x:v>
      </x:c>
      <x:c r="U220" s="15" t="str">
        <x:v>A_linguistic_conserve_candidate</x:v>
      </x:c>
      <x:c r="V220" s="16" t="str">
        <x:v>not_started</x:v>
      </x:c>
      <x:c r="W220" s="16"/>
      <x:c r="X220" s="16"/>
      <x:c r="Y220" s="16"/>
      <x:c r="Z220" s="16"/>
      <x:c r="AA220" s="16"/>
      <x:c r="AB220" s="16"/>
      <x:c r="AC220" s="16"/>
      <x:c r="AD220" s="16"/>
      <x:c r="AE220" s="16"/>
      <x:c r="AF220" s="16"/>
      <x:c r="AG220" s="16"/>
      <x:c r="AH220" s="16"/>
      <x:c r="AI220" s="16"/>
      <x:c r="AJ220" s="16"/>
      <x:c r="AK220" s="16"/>
      <x:c r="AL220" s="16"/>
      <x:c r="AM220" s="16"/>
      <x:c r="AN220" s="16"/>
      <x:c r="AO220" s="16"/>
      <x:c r="AP220" s="16"/>
      <x:c r="AQ220" s="16"/>
      <x:c r="AR220" s="16"/>
      <x:c r="AS220" s="16"/>
      <x:c r="AT220" s="20"/>
      <x:c r="AU220" s="16"/>
      <x:c r="AV220" s="16"/>
      <x:c r="AW220" s="16" t="str">
        <x:v>pending</x:v>
      </x:c>
      <x:c r="AX220" s="17" t="str">
        <x:v>blocked_not_validated</x:v>
      </x:c>
      <x:c r="AY220" s="18" t="str">
        <x:f>IF(OR(C220="yes",X220="corrected",COUNTIF(Z220:AL220,"major")&gt;0,COUNTIF(Z220:AL220,"blocker")&gt;0,OR(AO220="repair",AO220="segment",AO220="replace",AO220="block")),"yes","no")</x:f>
        <x:v>no</x:v>
      </x:c>
      <x:c r="AZ220" s="18" t="str">
        <x:f>IF(AND(V220="reviewed",W220&gt;=1,X220&lt;&gt;"",Y220&lt;&gt;"",COUNTA(Z220:AL220)=13,AM220&lt;&gt;"",AN220&lt;&gt;"",AO220&lt;&gt;"",AP220&lt;&gt;"",AQ220&lt;&gt;"",AR220&lt;&gt;"",AS220="I_listened_at_1x_and_completed_all_required_fields",AT220&lt;&gt;"",AW220="adjudicated",OR(AY220="no",AND(AU220&lt;&gt;"",AV220&lt;&gt;""))),"complete","incomplete")</x:f>
        <x:v>incomplete</x:v>
      </x:c>
      <x:c r="BA220" s="18" t="str">
        <x:f>IF(AZ220="complete","none","faltan campos humanos, adjudicación o segunda revisión")</x:f>
        <x:v>faltan campos humanos, adjudicación o segunda revisión</x:v>
      </x:c>
    </x:row>
    <x:row r="221" ht="36" customHeight="1">
      <x:c r="A221" s="15" t="n">
        <x:v>220</x:v>
      </x:c>
      <x:c r="B221" s="15" t="str">
        <x:v>P3-SAMPLE</x:v>
      </x:c>
      <x:c r="C221" s="15" t="str">
        <x:v>no</x:v>
      </x:c>
      <x:c r="D221" s="15" t="str">
        <x:v>asset:toefl:set-8:part-12:repeat-4</x:v>
      </x:c>
      <x:c r="E221" s="15" t="str">
        <x:v>set-8</x:v>
      </x:c>
      <x:c r="F221" s="15" t="str">
        <x:v>Listen and Repeat</x:v>
      </x:c>
      <x:c r="G221" s="15" t="str">
        <x:v>/Users/josedavidduartesilva/Developer/idiomaswl/public/audio/toefl/set-8/repeat-4.mp3</x:v>
      </x:c>
      <x:c r="H221" s="19" t="n">
        <x:v>4.5</x:v>
      </x:c>
      <x:c r="I221" s="15" t="str">
        <x:v>P3</x:v>
      </x:c>
      <x:c r="J221" s="15" t="str">
        <x:v>stratified_sample_T08</x:v>
      </x:c>
      <x:c r="K221" s="15" t="str">
        <x:v>pass_automated_T06</x:v>
      </x:c>
      <x:c r="L221" s="15" t="str">
        <x:v>none</x:v>
      </x:c>
      <x:c r="M221" s="15" t="str">
        <x:v>none</x:v>
      </x:c>
      <x:c r="N221" s="15" t="str">
        <x:v>conserve_source_technical_candidate</x:v>
      </x:c>
      <x:c r="O221" s="15" t="str">
        <x:v>source_exact_normalized_supported_pending_human</x:v>
      </x:c>
      <x:c r="P221" s="15" t="str">
        <x:v>stratified_human_confirmation</x:v>
      </x:c>
      <x:c r="Q221" s="15" t="str">
        <x:v>The students who volunteered at the shelter received a certificate of appreciation.</x:v>
      </x:c>
      <x:c r="R221" s="15" t="str">
        <x:v>The students who volunteered at the shelter received a certificate of appreciation.</x:v>
      </x:c>
      <x:c r="S221" s="15" t="str">
        <x:v>none</x:v>
      </x:c>
      <x:c r="T221" s="15" t="str">
        <x:v>source_contract_preserved_subject_to_T08</x:v>
      </x:c>
      <x:c r="U221" s="15" t="str">
        <x:v>A_linguistic_conserve_candidate</x:v>
      </x:c>
      <x:c r="V221" s="16" t="str">
        <x:v>not_started</x:v>
      </x:c>
      <x:c r="W221" s="16"/>
      <x:c r="X221" s="16"/>
      <x:c r="Y221" s="16"/>
      <x:c r="Z221" s="16"/>
      <x:c r="AA221" s="16"/>
      <x:c r="AB221" s="16"/>
      <x:c r="AC221" s="16"/>
      <x:c r="AD221" s="16"/>
      <x:c r="AE221" s="16"/>
      <x:c r="AF221" s="16"/>
      <x:c r="AG221" s="16"/>
      <x:c r="AH221" s="16"/>
      <x:c r="AI221" s="16"/>
      <x:c r="AJ221" s="16"/>
      <x:c r="AK221" s="16"/>
      <x:c r="AL221" s="16"/>
      <x:c r="AM221" s="16"/>
      <x:c r="AN221" s="16"/>
      <x:c r="AO221" s="16"/>
      <x:c r="AP221" s="16"/>
      <x:c r="AQ221" s="16"/>
      <x:c r="AR221" s="16"/>
      <x:c r="AS221" s="16"/>
      <x:c r="AT221" s="20"/>
      <x:c r="AU221" s="16"/>
      <x:c r="AV221" s="16"/>
      <x:c r="AW221" s="16" t="str">
        <x:v>pending</x:v>
      </x:c>
      <x:c r="AX221" s="17" t="str">
        <x:v>blocked_not_validated</x:v>
      </x:c>
      <x:c r="AY221" s="18" t="str">
        <x:f>IF(OR(C221="yes",X221="corrected",COUNTIF(Z221:AL221,"major")&gt;0,COUNTIF(Z221:AL221,"blocker")&gt;0,OR(AO221="repair",AO221="segment",AO221="replace",AO221="block")),"yes","no")</x:f>
        <x:v>no</x:v>
      </x:c>
      <x:c r="AZ221" s="18" t="str">
        <x:f>IF(AND(V221="reviewed",W221&gt;=1,X221&lt;&gt;"",Y221&lt;&gt;"",COUNTA(Z221:AL221)=13,AM221&lt;&gt;"",AN221&lt;&gt;"",AO221&lt;&gt;"",AP221&lt;&gt;"",AQ221&lt;&gt;"",AR221&lt;&gt;"",AS221="I_listened_at_1x_and_completed_all_required_fields",AT221&lt;&gt;"",AW221="adjudicated",OR(AY221="no",AND(AU221&lt;&gt;"",AV221&lt;&gt;""))),"complete","incomplete")</x:f>
        <x:v>incomplete</x:v>
      </x:c>
      <x:c r="BA221" s="18" t="str">
        <x:f>IF(AZ221="complete","none","faltan campos humanos, adjudicación o segunda revisión")</x:f>
        <x:v>faltan campos humanos, adjudicación o segunda revisión</x:v>
      </x:c>
    </x:row>
    <x:row r="222" ht="36" customHeight="1">
      <x:c r="A222" s="15" t="n">
        <x:v>221</x:v>
      </x:c>
      <x:c r="B222" s="15" t="str">
        <x:v>P3-SAMPLE</x:v>
      </x:c>
      <x:c r="C222" s="15" t="str">
        <x:v>no</x:v>
      </x:c>
      <x:c r="D222" s="15" t="str">
        <x:v>asset:toefl:set-9:part-12:repeat-2</x:v>
      </x:c>
      <x:c r="E222" s="15" t="str">
        <x:v>set-9</x:v>
      </x:c>
      <x:c r="F222" s="15" t="str">
        <x:v>Listen and Repeat</x:v>
      </x:c>
      <x:c r="G222" s="15" t="str">
        <x:v>/Users/josedavidduartesilva/Developer/idiomaswl/public/audio/toefl/set-9/repeat-2.mp3</x:v>
      </x:c>
      <x:c r="H222" s="19" t="n">
        <x:v>2.66</x:v>
      </x:c>
      <x:c r="I222" s="15" t="str">
        <x:v>P3</x:v>
      </x:c>
      <x:c r="J222" s="15" t="str">
        <x:v>stratified_sample_T08</x:v>
      </x:c>
      <x:c r="K222" s="15" t="str">
        <x:v>pass_automated_T06</x:v>
      </x:c>
      <x:c r="L222" s="15" t="str">
        <x:v>none</x:v>
      </x:c>
      <x:c r="M222" s="15" t="str">
        <x:v>none</x:v>
      </x:c>
      <x:c r="N222" s="15" t="str">
        <x:v>conserve_source_technical_candidate</x:v>
      </x:c>
      <x:c r="O222" s="15" t="str">
        <x:v>source_exact_normalized_supported_pending_human</x:v>
      </x:c>
      <x:c r="P222" s="15" t="str">
        <x:v>stratified_human_confirmation</x:v>
      </x:c>
      <x:c r="Q222" s="15" t="str">
        <x:v>They planted a garden behind the house.</x:v>
      </x:c>
      <x:c r="R222" s="15" t="str">
        <x:v>They planted a garden behind the house.</x:v>
      </x:c>
      <x:c r="S222" s="15" t="str">
        <x:v>none</x:v>
      </x:c>
      <x:c r="T222" s="15" t="str">
        <x:v>source_contract_preserved_subject_to_T08</x:v>
      </x:c>
      <x:c r="U222" s="15" t="str">
        <x:v>A_linguistic_conserve_candidate</x:v>
      </x:c>
      <x:c r="V222" s="16" t="str">
        <x:v>not_started</x:v>
      </x:c>
      <x:c r="W222" s="16"/>
      <x:c r="X222" s="16"/>
      <x:c r="Y222" s="16"/>
      <x:c r="Z222" s="16"/>
      <x:c r="AA222" s="16"/>
      <x:c r="AB222" s="16"/>
      <x:c r="AC222" s="16"/>
      <x:c r="AD222" s="16"/>
      <x:c r="AE222" s="16"/>
      <x:c r="AF222" s="16"/>
      <x:c r="AG222" s="16"/>
      <x:c r="AH222" s="16"/>
      <x:c r="AI222" s="16"/>
      <x:c r="AJ222" s="16"/>
      <x:c r="AK222" s="16"/>
      <x:c r="AL222" s="16"/>
      <x:c r="AM222" s="16"/>
      <x:c r="AN222" s="16"/>
      <x:c r="AO222" s="16"/>
      <x:c r="AP222" s="16"/>
      <x:c r="AQ222" s="16"/>
      <x:c r="AR222" s="16"/>
      <x:c r="AS222" s="16"/>
      <x:c r="AT222" s="20"/>
      <x:c r="AU222" s="16"/>
      <x:c r="AV222" s="16"/>
      <x:c r="AW222" s="16" t="str">
        <x:v>pending</x:v>
      </x:c>
      <x:c r="AX222" s="17" t="str">
        <x:v>blocked_not_validated</x:v>
      </x:c>
      <x:c r="AY222" s="18" t="str">
        <x:f>IF(OR(C222="yes",X222="corrected",COUNTIF(Z222:AL222,"major")&gt;0,COUNTIF(Z222:AL222,"blocker")&gt;0,OR(AO222="repair",AO222="segment",AO222="replace",AO222="block")),"yes","no")</x:f>
        <x:v>no</x:v>
      </x:c>
      <x:c r="AZ222" s="18" t="str">
        <x:f>IF(AND(V222="reviewed",W222&gt;=1,X222&lt;&gt;"",Y222&lt;&gt;"",COUNTA(Z222:AL222)=13,AM222&lt;&gt;"",AN222&lt;&gt;"",AO222&lt;&gt;"",AP222&lt;&gt;"",AQ222&lt;&gt;"",AR222&lt;&gt;"",AS222="I_listened_at_1x_and_completed_all_required_fields",AT222&lt;&gt;"",AW222="adjudicated",OR(AY222="no",AND(AU222&lt;&gt;"",AV222&lt;&gt;""))),"complete","incomplete")</x:f>
        <x:v>incomplete</x:v>
      </x:c>
      <x:c r="BA222" s="18" t="str">
        <x:f>IF(AZ222="complete","none","faltan campos humanos, adjudicación o segunda revisión")</x:f>
        <x:v>faltan campos humanos, adjudicación o segunda revisión</x:v>
      </x:c>
    </x:row>
    <x:row r="223" ht="36" customHeight="1">
      <x:c r="A223" s="15" t="n">
        <x:v>222</x:v>
      </x:c>
      <x:c r="B223" s="15" t="str">
        <x:v>P3-SAMPLE</x:v>
      </x:c>
      <x:c r="C223" s="15" t="str">
        <x:v>no</x:v>
      </x:c>
      <x:c r="D223" s="15" t="str">
        <x:v>asset:toefl:set-9:part-12:repeat-3</x:v>
      </x:c>
      <x:c r="E223" s="15" t="str">
        <x:v>set-9</x:v>
      </x:c>
      <x:c r="F223" s="15" t="str">
        <x:v>Listen and Repeat</x:v>
      </x:c>
      <x:c r="G223" s="15" t="str">
        <x:v>/Users/josedavidduartesilva/Developer/idiomaswl/public/audio/toefl/set-9/repeat-3.mp3</x:v>
      </x:c>
      <x:c r="H223" s="19" t="n">
        <x:v>3.3</x:v>
      </x:c>
      <x:c r="I223" s="15" t="str">
        <x:v>P3</x:v>
      </x:c>
      <x:c r="J223" s="15" t="str">
        <x:v>stratified_sample_T08</x:v>
      </x:c>
      <x:c r="K223" s="15" t="str">
        <x:v>pass_automated_T06</x:v>
      </x:c>
      <x:c r="L223" s="15" t="str">
        <x:v>none</x:v>
      </x:c>
      <x:c r="M223" s="15" t="str">
        <x:v>none</x:v>
      </x:c>
      <x:c r="N223" s="15" t="str">
        <x:v>conserve_source_technical_candidate</x:v>
      </x:c>
      <x:c r="O223" s="15" t="str">
        <x:v>source_exact_normalized_supported_pending_human</x:v>
      </x:c>
      <x:c r="P223" s="15" t="str">
        <x:v>stratified_human_confirmation</x:v>
      </x:c>
      <x:c r="Q223" s="15" t="str">
        <x:v>The report was finished a day before the deadline.</x:v>
      </x:c>
      <x:c r="R223" s="15" t="str">
        <x:v>The report was finished a day before the deadline.</x:v>
      </x:c>
      <x:c r="S223" s="15" t="str">
        <x:v>none</x:v>
      </x:c>
      <x:c r="T223" s="15" t="str">
        <x:v>source_contract_preserved_subject_to_T08</x:v>
      </x:c>
      <x:c r="U223" s="15" t="str">
        <x:v>A_linguistic_conserve_candidate</x:v>
      </x:c>
      <x:c r="V223" s="16" t="str">
        <x:v>not_started</x:v>
      </x:c>
      <x:c r="W223" s="16"/>
      <x:c r="X223" s="16"/>
      <x:c r="Y223" s="16"/>
      <x:c r="Z223" s="16"/>
      <x:c r="AA223" s="16"/>
      <x:c r="AB223" s="16"/>
      <x:c r="AC223" s="16"/>
      <x:c r="AD223" s="16"/>
      <x:c r="AE223" s="16"/>
      <x:c r="AF223" s="16"/>
      <x:c r="AG223" s="16"/>
      <x:c r="AH223" s="16"/>
      <x:c r="AI223" s="16"/>
      <x:c r="AJ223" s="16"/>
      <x:c r="AK223" s="16"/>
      <x:c r="AL223" s="16"/>
      <x:c r="AM223" s="16"/>
      <x:c r="AN223" s="16"/>
      <x:c r="AO223" s="16"/>
      <x:c r="AP223" s="16"/>
      <x:c r="AQ223" s="16"/>
      <x:c r="AR223" s="16"/>
      <x:c r="AS223" s="16"/>
      <x:c r="AT223" s="20"/>
      <x:c r="AU223" s="16"/>
      <x:c r="AV223" s="16"/>
      <x:c r="AW223" s="16" t="str">
        <x:v>pending</x:v>
      </x:c>
      <x:c r="AX223" s="17" t="str">
        <x:v>blocked_not_validated</x:v>
      </x:c>
      <x:c r="AY223" s="18" t="str">
        <x:f>IF(OR(C223="yes",X223="corrected",COUNTIF(Z223:AL223,"major")&gt;0,COUNTIF(Z223:AL223,"blocker")&gt;0,OR(AO223="repair",AO223="segment",AO223="replace",AO223="block")),"yes","no")</x:f>
        <x:v>no</x:v>
      </x:c>
      <x:c r="AZ223" s="18" t="str">
        <x:f>IF(AND(V223="reviewed",W223&gt;=1,X223&lt;&gt;"",Y223&lt;&gt;"",COUNTA(Z223:AL223)=13,AM223&lt;&gt;"",AN223&lt;&gt;"",AO223&lt;&gt;"",AP223&lt;&gt;"",AQ223&lt;&gt;"",AR223&lt;&gt;"",AS223="I_listened_at_1x_and_completed_all_required_fields",AT223&lt;&gt;"",AW223="adjudicated",OR(AY223="no",AND(AU223&lt;&gt;"",AV223&lt;&gt;""))),"complete","incomplete")</x:f>
        <x:v>incomplete</x:v>
      </x:c>
      <x:c r="BA223" s="18" t="str">
        <x:f>IF(AZ223="complete","none","faltan campos humanos, adjudicación o segunda revisión")</x:f>
        <x:v>faltan campos humanos, adjudicación o segunda revisión</x:v>
      </x:c>
    </x:row>
    <x:row r="224" ht="36" customHeight="1">
      <x:c r="A224" s="15" t="n">
        <x:v>223</x:v>
      </x:c>
      <x:c r="B224" s="15" t="str">
        <x:v>P3-SAMPLE</x:v>
      </x:c>
      <x:c r="C224" s="15" t="str">
        <x:v>no</x:v>
      </x:c>
      <x:c r="D224" s="15" t="str">
        <x:v>asset:toefl:set-9:part-12:repeat-5</x:v>
      </x:c>
      <x:c r="E224" s="15" t="str">
        <x:v>set-9</x:v>
      </x:c>
      <x:c r="F224" s="15" t="str">
        <x:v>Listen and Repeat</x:v>
      </x:c>
      <x:c r="G224" s="15" t="str">
        <x:v>/Users/josedavidduartesilva/Developer/idiomaswl/public/audio/toefl/set-9/repeat-5.mp3</x:v>
      </x:c>
      <x:c r="H224" s="19" t="n">
        <x:v>5.06</x:v>
      </x:c>
      <x:c r="I224" s="15" t="str">
        <x:v>P3</x:v>
      </x:c>
      <x:c r="J224" s="15" t="str">
        <x:v>stratified_sample_T08</x:v>
      </x:c>
      <x:c r="K224" s="15" t="str">
        <x:v>pass_with_actionable_warning</x:v>
      </x:c>
      <x:c r="L224" s="15" t="str">
        <x:v>none</x:v>
      </x:c>
      <x:c r="M224" s="15" t="str">
        <x:v>TECH-PEAK-003</x:v>
      </x:c>
      <x:c r="N224" s="15" t="str">
        <x:v>review_warning_in_T08_before_conserve</x:v>
      </x:c>
      <x:c r="O224" s="15" t="str">
        <x:v>source_exact_normalized_supported_pending_human</x:v>
      </x:c>
      <x:c r="P224" s="15" t="str">
        <x:v>stratified_human_confirmation</x:v>
      </x:c>
      <x:c r="Q224" s="15" t="str">
        <x:v>After the researchers had analyzed the data, they published their conclusions in a leading journal.</x:v>
      </x:c>
      <x:c r="R224" s="15" t="str">
        <x:v>After the researchers had analyzed the data, they published their conclusions in a leading journal.</x:v>
      </x:c>
      <x:c r="S224" s="15" t="str">
        <x:v>none</x:v>
      </x:c>
      <x:c r="T224" s="15" t="str">
        <x:v>source_contract_preserved_subject_to_T08</x:v>
      </x:c>
      <x:c r="U224" s="15" t="str">
        <x:v>A_linguistic_conserve_candidate</x:v>
      </x:c>
      <x:c r="V224" s="16" t="str">
        <x:v>not_started</x:v>
      </x:c>
      <x:c r="W224" s="16"/>
      <x:c r="X224" s="16"/>
      <x:c r="Y224" s="16"/>
      <x:c r="Z224" s="16"/>
      <x:c r="AA224" s="16"/>
      <x:c r="AB224" s="16"/>
      <x:c r="AC224" s="16"/>
      <x:c r="AD224" s="16"/>
      <x:c r="AE224" s="16"/>
      <x:c r="AF224" s="16"/>
      <x:c r="AG224" s="16"/>
      <x:c r="AH224" s="16"/>
      <x:c r="AI224" s="16"/>
      <x:c r="AJ224" s="16"/>
      <x:c r="AK224" s="16"/>
      <x:c r="AL224" s="16"/>
      <x:c r="AM224" s="16"/>
      <x:c r="AN224" s="16"/>
      <x:c r="AO224" s="16"/>
      <x:c r="AP224" s="16"/>
      <x:c r="AQ224" s="16"/>
      <x:c r="AR224" s="16"/>
      <x:c r="AS224" s="16"/>
      <x:c r="AT224" s="20"/>
      <x:c r="AU224" s="16"/>
      <x:c r="AV224" s="16"/>
      <x:c r="AW224" s="16" t="str">
        <x:v>pending</x:v>
      </x:c>
      <x:c r="AX224" s="17" t="str">
        <x:v>blocked_not_validated</x:v>
      </x:c>
      <x:c r="AY224" s="18" t="str">
        <x:f>IF(OR(C224="yes",X224="corrected",COUNTIF(Z224:AL224,"major")&gt;0,COUNTIF(Z224:AL224,"blocker")&gt;0,OR(AO224="repair",AO224="segment",AO224="replace",AO224="block")),"yes","no")</x:f>
        <x:v>no</x:v>
      </x:c>
      <x:c r="AZ224" s="18" t="str">
        <x:f>IF(AND(V224="reviewed",W224&gt;=1,X224&lt;&gt;"",Y224&lt;&gt;"",COUNTA(Z224:AL224)=13,AM224&lt;&gt;"",AN224&lt;&gt;"",AO224&lt;&gt;"",AP224&lt;&gt;"",AQ224&lt;&gt;"",AR224&lt;&gt;"",AS224="I_listened_at_1x_and_completed_all_required_fields",AT224&lt;&gt;"",AW224="adjudicated",OR(AY224="no",AND(AU224&lt;&gt;"",AV224&lt;&gt;""))),"complete","incomplete")</x:f>
        <x:v>incomplete</x:v>
      </x:c>
      <x:c r="BA224" s="18" t="str">
        <x:f>IF(AZ224="complete","none","faltan campos humanos, adjudicación o segunda revisión")</x:f>
        <x:v>faltan campos humanos, adjudicación o segunda revisión</x:v>
      </x:c>
    </x:row>
    <x:row r="225" ht="36" customHeight="1">
      <x:c r="A225" s="15" t="n">
        <x:v>224</x:v>
      </x:c>
      <x:c r="B225" s="15" t="str">
        <x:v>P3-SAMPLE</x:v>
      </x:c>
      <x:c r="C225" s="15" t="str">
        <x:v>no</x:v>
      </x:c>
      <x:c r="D225" s="15" t="str">
        <x:v>asset:toefl:set-10:part-12:repeat-1</x:v>
      </x:c>
      <x:c r="E225" s="15" t="str">
        <x:v>set-10</x:v>
      </x:c>
      <x:c r="F225" s="15" t="str">
        <x:v>Listen and Repeat</x:v>
      </x:c>
      <x:c r="G225" s="15" t="str">
        <x:v>/Users/josedavidduartesilva/Developer/idiomaswl/public/audio/toefl/set-10/repeat-1.mp3</x:v>
      </x:c>
      <x:c r="H225" s="19" t="n">
        <x:v>2.18</x:v>
      </x:c>
      <x:c r="I225" s="15" t="str">
        <x:v>P3</x:v>
      </x:c>
      <x:c r="J225" s="15" t="str">
        <x:v>stratified_sample_T08</x:v>
      </x:c>
      <x:c r="K225" s="15" t="str">
        <x:v>pass_automated_T06</x:v>
      </x:c>
      <x:c r="L225" s="15" t="str">
        <x:v>none</x:v>
      </x:c>
      <x:c r="M225" s="15" t="str">
        <x:v>none</x:v>
      </x:c>
      <x:c r="N225" s="15" t="str">
        <x:v>conserve_source_technical_candidate</x:v>
      </x:c>
      <x:c r="O225" s="15" t="str">
        <x:v>source_exact_normalized_supported_pending_human</x:v>
      </x:c>
      <x:c r="P225" s="15" t="str">
        <x:v>stratified_human_confirmation</x:v>
      </x:c>
      <x:c r="Q225" s="15" t="str">
        <x:v>The park is near my house.</x:v>
      </x:c>
      <x:c r="R225" s="15" t="str">
        <x:v>The park is near my house.</x:v>
      </x:c>
      <x:c r="S225" s="15" t="str">
        <x:v>none</x:v>
      </x:c>
      <x:c r="T225" s="15" t="str">
        <x:v>source_contract_preserved_subject_to_T08</x:v>
      </x:c>
      <x:c r="U225" s="15" t="str">
        <x:v>A_linguistic_conserve_candidate</x:v>
      </x:c>
      <x:c r="V225" s="16" t="str">
        <x:v>not_started</x:v>
      </x:c>
      <x:c r="W225" s="16"/>
      <x:c r="X225" s="16"/>
      <x:c r="Y225" s="16"/>
      <x:c r="Z225" s="16"/>
      <x:c r="AA225" s="16"/>
      <x:c r="AB225" s="16"/>
      <x:c r="AC225" s="16"/>
      <x:c r="AD225" s="16"/>
      <x:c r="AE225" s="16"/>
      <x:c r="AF225" s="16"/>
      <x:c r="AG225" s="16"/>
      <x:c r="AH225" s="16"/>
      <x:c r="AI225" s="16"/>
      <x:c r="AJ225" s="16"/>
      <x:c r="AK225" s="16"/>
      <x:c r="AL225" s="16"/>
      <x:c r="AM225" s="16"/>
      <x:c r="AN225" s="16"/>
      <x:c r="AO225" s="16"/>
      <x:c r="AP225" s="16"/>
      <x:c r="AQ225" s="16"/>
      <x:c r="AR225" s="16"/>
      <x:c r="AS225" s="16"/>
      <x:c r="AT225" s="20"/>
      <x:c r="AU225" s="16"/>
      <x:c r="AV225" s="16"/>
      <x:c r="AW225" s="16" t="str">
        <x:v>pending</x:v>
      </x:c>
      <x:c r="AX225" s="17" t="str">
        <x:v>blocked_not_validated</x:v>
      </x:c>
      <x:c r="AY225" s="18" t="str">
        <x:f>IF(OR(C225="yes",X225="corrected",COUNTIF(Z225:AL225,"major")&gt;0,COUNTIF(Z225:AL225,"blocker")&gt;0,OR(AO225="repair",AO225="segment",AO225="replace",AO225="block")),"yes","no")</x:f>
        <x:v>no</x:v>
      </x:c>
      <x:c r="AZ225" s="18" t="str">
        <x:f>IF(AND(V225="reviewed",W225&gt;=1,X225&lt;&gt;"",Y225&lt;&gt;"",COUNTA(Z225:AL225)=13,AM225&lt;&gt;"",AN225&lt;&gt;"",AO225&lt;&gt;"",AP225&lt;&gt;"",AQ225&lt;&gt;"",AR225&lt;&gt;"",AS225="I_listened_at_1x_and_completed_all_required_fields",AT225&lt;&gt;"",AW225="adjudicated",OR(AY225="no",AND(AU225&lt;&gt;"",AV225&lt;&gt;""))),"complete","incomplete")</x:f>
        <x:v>incomplete</x:v>
      </x:c>
      <x:c r="BA225" s="18" t="str">
        <x:f>IF(AZ225="complete","none","faltan campos humanos, adjudicación o segunda revisión")</x:f>
        <x:v>faltan campos humanos, adjudicación o segunda revisión</x:v>
      </x:c>
    </x:row>
    <x:row r="226" ht="36" customHeight="1">
      <x:c r="A226" s="15" t="n">
        <x:v>225</x:v>
      </x:c>
      <x:c r="B226" s="15" t="str">
        <x:v>P3-SAMPLE</x:v>
      </x:c>
      <x:c r="C226" s="15" t="str">
        <x:v>no</x:v>
      </x:c>
      <x:c r="D226" s="15" t="str">
        <x:v>asset:toefl:set-10:part-12:repeat-4</x:v>
      </x:c>
      <x:c r="E226" s="15" t="str">
        <x:v>set-10</x:v>
      </x:c>
      <x:c r="F226" s="15" t="str">
        <x:v>Listen and Repeat</x:v>
      </x:c>
      <x:c r="G226" s="15" t="str">
        <x:v>/Users/josedavidduartesilva/Developer/idiomaswl/public/audio/toefl/set-10/repeat-4.mp3</x:v>
      </x:c>
      <x:c r="H226" s="19" t="n">
        <x:v>5.22</x:v>
      </x:c>
      <x:c r="I226" s="15" t="str">
        <x:v>P3</x:v>
      </x:c>
      <x:c r="J226" s="15" t="str">
        <x:v>stratified_sample_T08</x:v>
      </x:c>
      <x:c r="K226" s="15" t="str">
        <x:v>pass_automated_T06</x:v>
      </x:c>
      <x:c r="L226" s="15" t="str">
        <x:v>none</x:v>
      </x:c>
      <x:c r="M226" s="15" t="str">
        <x:v>none</x:v>
      </x:c>
      <x:c r="N226" s="15" t="str">
        <x:v>conserve_source_technical_candidate</x:v>
      </x:c>
      <x:c r="O226" s="15" t="str">
        <x:v>source_exact_normalized_supported_pending_human</x:v>
      </x:c>
      <x:c r="P226" s="15" t="str">
        <x:v>stratified_human_confirmation</x:v>
      </x:c>
      <x:c r="Q226" s="15" t="str">
        <x:v>The article explained how ocean currents affect the climate of coastal regions.</x:v>
      </x:c>
      <x:c r="R226" s="15" t="str">
        <x:v>The article explained how ocean currents affect the climate of coastal regions.</x:v>
      </x:c>
      <x:c r="S226" s="15" t="str">
        <x:v>none</x:v>
      </x:c>
      <x:c r="T226" s="15" t="str">
        <x:v>source_contract_preserved_subject_to_T08</x:v>
      </x:c>
      <x:c r="U226" s="15" t="str">
        <x:v>A_linguistic_conserve_candidate</x:v>
      </x:c>
      <x:c r="V226" s="16" t="str">
        <x:v>not_started</x:v>
      </x:c>
      <x:c r="W226" s="16"/>
      <x:c r="X226" s="16"/>
      <x:c r="Y226" s="16"/>
      <x:c r="Z226" s="16"/>
      <x:c r="AA226" s="16"/>
      <x:c r="AB226" s="16"/>
      <x:c r="AC226" s="16"/>
      <x:c r="AD226" s="16"/>
      <x:c r="AE226" s="16"/>
      <x:c r="AF226" s="16"/>
      <x:c r="AG226" s="16"/>
      <x:c r="AH226" s="16"/>
      <x:c r="AI226" s="16"/>
      <x:c r="AJ226" s="16"/>
      <x:c r="AK226" s="16"/>
      <x:c r="AL226" s="16"/>
      <x:c r="AM226" s="16"/>
      <x:c r="AN226" s="16"/>
      <x:c r="AO226" s="16"/>
      <x:c r="AP226" s="16"/>
      <x:c r="AQ226" s="16"/>
      <x:c r="AR226" s="16"/>
      <x:c r="AS226" s="16"/>
      <x:c r="AT226" s="20"/>
      <x:c r="AU226" s="16"/>
      <x:c r="AV226" s="16"/>
      <x:c r="AW226" s="16" t="str">
        <x:v>pending</x:v>
      </x:c>
      <x:c r="AX226" s="17" t="str">
        <x:v>blocked_not_validated</x:v>
      </x:c>
      <x:c r="AY226" s="18" t="str">
        <x:f>IF(OR(C226="yes",X226="corrected",COUNTIF(Z226:AL226,"major")&gt;0,COUNTIF(Z226:AL226,"blocker")&gt;0,OR(AO226="repair",AO226="segment",AO226="replace",AO226="block")),"yes","no")</x:f>
        <x:v>no</x:v>
      </x:c>
      <x:c r="AZ226" s="18" t="str">
        <x:f>IF(AND(V226="reviewed",W226&gt;=1,X226&lt;&gt;"",Y226&lt;&gt;"",COUNTA(Z226:AL226)=13,AM226&lt;&gt;"",AN226&lt;&gt;"",AO226&lt;&gt;"",AP226&lt;&gt;"",AQ226&lt;&gt;"",AR226&lt;&gt;"",AS226="I_listened_at_1x_and_completed_all_required_fields",AT226&lt;&gt;"",AW226="adjudicated",OR(AY226="no",AND(AU226&lt;&gt;"",AV226&lt;&gt;""))),"complete","incomplete")</x:f>
        <x:v>incomplete</x:v>
      </x:c>
      <x:c r="BA226" s="18" t="str">
        <x:f>IF(AZ226="complete","none","faltan campos humanos, adjudicación o segunda revisión")</x:f>
        <x:v>faltan campos humanos, adjudicación o segunda revisión</x:v>
      </x:c>
    </x:row>
    <x:row r="227" ht="36" customHeight="1">
      <x:c r="A227" s="15" t="n">
        <x:v>226</x:v>
      </x:c>
      <x:c r="B227" s="15" t="str">
        <x:v>P3-SAMPLE</x:v>
      </x:c>
      <x:c r="C227" s="15" t="str">
        <x:v>no</x:v>
      </x:c>
      <x:c r="D227" s="15" t="str">
        <x:v>asset:toefl:set-11:part-12:repeat-1</x:v>
      </x:c>
      <x:c r="E227" s="15" t="str">
        <x:v>set-11</x:v>
      </x:c>
      <x:c r="F227" s="15" t="str">
        <x:v>Listen and Repeat</x:v>
      </x:c>
      <x:c r="G227" s="15" t="str">
        <x:v>/Users/josedavidduartesilva/Developer/idiomaswl/public/audio/toefl/set-11/repeat-1.mp3</x:v>
      </x:c>
      <x:c r="H227" s="19" t="n">
        <x:v>2.02</x:v>
      </x:c>
      <x:c r="I227" s="15" t="str">
        <x:v>P3</x:v>
      </x:c>
      <x:c r="J227" s="15" t="str">
        <x:v>stratified_sample_T08</x:v>
      </x:c>
      <x:c r="K227" s="15" t="str">
        <x:v>pass_automated_T06</x:v>
      </x:c>
      <x:c r="L227" s="15" t="str">
        <x:v>none</x:v>
      </x:c>
      <x:c r="M227" s="15" t="str">
        <x:v>none</x:v>
      </x:c>
      <x:c r="N227" s="15" t="str">
        <x:v>conserve_source_technical_candidate</x:v>
      </x:c>
      <x:c r="O227" s="15" t="str">
        <x:v>source_exact_normalized_supported_pending_human</x:v>
      </x:c>
      <x:c r="P227" s="15" t="str">
        <x:v>stratified_human_confirmation</x:v>
      </x:c>
      <x:c r="Q227" s="15" t="str">
        <x:v>The shop is closed today.</x:v>
      </x:c>
      <x:c r="R227" s="15" t="str">
        <x:v>The shop is closed today.</x:v>
      </x:c>
      <x:c r="S227" s="15" t="str">
        <x:v>none</x:v>
      </x:c>
      <x:c r="T227" s="15" t="str">
        <x:v>source_contract_preserved_subject_to_T08</x:v>
      </x:c>
      <x:c r="U227" s="15" t="str">
        <x:v>A_linguistic_conserve_candidate</x:v>
      </x:c>
      <x:c r="V227" s="16" t="str">
        <x:v>not_started</x:v>
      </x:c>
      <x:c r="W227" s="16"/>
      <x:c r="X227" s="16"/>
      <x:c r="Y227" s="16"/>
      <x:c r="Z227" s="16"/>
      <x:c r="AA227" s="16"/>
      <x:c r="AB227" s="16"/>
      <x:c r="AC227" s="16"/>
      <x:c r="AD227" s="16"/>
      <x:c r="AE227" s="16"/>
      <x:c r="AF227" s="16"/>
      <x:c r="AG227" s="16"/>
      <x:c r="AH227" s="16"/>
      <x:c r="AI227" s="16"/>
      <x:c r="AJ227" s="16"/>
      <x:c r="AK227" s="16"/>
      <x:c r="AL227" s="16"/>
      <x:c r="AM227" s="16"/>
      <x:c r="AN227" s="16"/>
      <x:c r="AO227" s="16"/>
      <x:c r="AP227" s="16"/>
      <x:c r="AQ227" s="16"/>
      <x:c r="AR227" s="16"/>
      <x:c r="AS227" s="16"/>
      <x:c r="AT227" s="20"/>
      <x:c r="AU227" s="16"/>
      <x:c r="AV227" s="16"/>
      <x:c r="AW227" s="16" t="str">
        <x:v>pending</x:v>
      </x:c>
      <x:c r="AX227" s="17" t="str">
        <x:v>blocked_not_validated</x:v>
      </x:c>
      <x:c r="AY227" s="18" t="str">
        <x:f>IF(OR(C227="yes",X227="corrected",COUNTIF(Z227:AL227,"major")&gt;0,COUNTIF(Z227:AL227,"blocker")&gt;0,OR(AO227="repair",AO227="segment",AO227="replace",AO227="block")),"yes","no")</x:f>
        <x:v>no</x:v>
      </x:c>
      <x:c r="AZ227" s="18" t="str">
        <x:f>IF(AND(V227="reviewed",W227&gt;=1,X227&lt;&gt;"",Y227&lt;&gt;"",COUNTA(Z227:AL227)=13,AM227&lt;&gt;"",AN227&lt;&gt;"",AO227&lt;&gt;"",AP227&lt;&gt;"",AQ227&lt;&gt;"",AR227&lt;&gt;"",AS227="I_listened_at_1x_and_completed_all_required_fields",AT227&lt;&gt;"",AW227="adjudicated",OR(AY227="no",AND(AU227&lt;&gt;"",AV227&lt;&gt;""))),"complete","incomplete")</x:f>
        <x:v>incomplete</x:v>
      </x:c>
      <x:c r="BA227" s="18" t="str">
        <x:f>IF(AZ227="complete","none","faltan campos humanos, adjudicación o segunda revisión")</x:f>
        <x:v>faltan campos humanos, adjudicación o segunda revisión</x:v>
      </x:c>
    </x:row>
    <x:row r="228" ht="36" customHeight="1">
      <x:c r="A228" s="15" t="n">
        <x:v>227</x:v>
      </x:c>
      <x:c r="B228" s="15" t="str">
        <x:v>P3-SAMPLE</x:v>
      </x:c>
      <x:c r="C228" s="15" t="str">
        <x:v>no</x:v>
      </x:c>
      <x:c r="D228" s="15" t="str">
        <x:v>asset:toefl:set-11:part-12:repeat-2</x:v>
      </x:c>
      <x:c r="E228" s="15" t="str">
        <x:v>set-11</x:v>
      </x:c>
      <x:c r="F228" s="15" t="str">
        <x:v>Listen and Repeat</x:v>
      </x:c>
      <x:c r="G228" s="15" t="str">
        <x:v>/Users/josedavidduartesilva/Developer/idiomaswl/public/audio/toefl/set-11/repeat-2.mp3</x:v>
      </x:c>
      <x:c r="H228" s="19" t="n">
        <x:v>2.901</x:v>
      </x:c>
      <x:c r="I228" s="15" t="str">
        <x:v>P3</x:v>
      </x:c>
      <x:c r="J228" s="15" t="str">
        <x:v>stratified_sample_T08</x:v>
      </x:c>
      <x:c r="K228" s="15" t="str">
        <x:v>pass_with_actionable_warning</x:v>
      </x:c>
      <x:c r="L228" s="15" t="str">
        <x:v>none</x:v>
      </x:c>
      <x:c r="M228" s="15" t="str">
        <x:v>TECH-PEAK-003</x:v>
      </x:c>
      <x:c r="N228" s="15" t="str">
        <x:v>review_warning_in_T08_before_conserve</x:v>
      </x:c>
      <x:c r="O228" s="15" t="str">
        <x:v>source_exact_normalized_supported_pending_human</x:v>
      </x:c>
      <x:c r="P228" s="15" t="str">
        <x:v>stratified_human_confirmation</x:v>
      </x:c>
      <x:c r="Q228" s="15" t="str">
        <x:v>We watched a documentary about the ocean.</x:v>
      </x:c>
      <x:c r="R228" s="15" t="str">
        <x:v>We watched a documentary about the ocean.</x:v>
      </x:c>
      <x:c r="S228" s="15" t="str">
        <x:v>none</x:v>
      </x:c>
      <x:c r="T228" s="15" t="str">
        <x:v>source_contract_preserved_subject_to_T08</x:v>
      </x:c>
      <x:c r="U228" s="15" t="str">
        <x:v>A_linguistic_conserve_candidate</x:v>
      </x:c>
      <x:c r="V228" s="16" t="str">
        <x:v>not_started</x:v>
      </x:c>
      <x:c r="W228" s="16"/>
      <x:c r="X228" s="16"/>
      <x:c r="Y228" s="16"/>
      <x:c r="Z228" s="16"/>
      <x:c r="AA228" s="16"/>
      <x:c r="AB228" s="16"/>
      <x:c r="AC228" s="16"/>
      <x:c r="AD228" s="16"/>
      <x:c r="AE228" s="16"/>
      <x:c r="AF228" s="16"/>
      <x:c r="AG228" s="16"/>
      <x:c r="AH228" s="16"/>
      <x:c r="AI228" s="16"/>
      <x:c r="AJ228" s="16"/>
      <x:c r="AK228" s="16"/>
      <x:c r="AL228" s="16"/>
      <x:c r="AM228" s="16"/>
      <x:c r="AN228" s="16"/>
      <x:c r="AO228" s="16"/>
      <x:c r="AP228" s="16"/>
      <x:c r="AQ228" s="16"/>
      <x:c r="AR228" s="16"/>
      <x:c r="AS228" s="16"/>
      <x:c r="AT228" s="20"/>
      <x:c r="AU228" s="16"/>
      <x:c r="AV228" s="16"/>
      <x:c r="AW228" s="16" t="str">
        <x:v>pending</x:v>
      </x:c>
      <x:c r="AX228" s="17" t="str">
        <x:v>blocked_not_validated</x:v>
      </x:c>
      <x:c r="AY228" s="18" t="str">
        <x:f>IF(OR(C228="yes",X228="corrected",COUNTIF(Z228:AL228,"major")&gt;0,COUNTIF(Z228:AL228,"blocker")&gt;0,OR(AO228="repair",AO228="segment",AO228="replace",AO228="block")),"yes","no")</x:f>
        <x:v>no</x:v>
      </x:c>
      <x:c r="AZ228" s="18" t="str">
        <x:f>IF(AND(V228="reviewed",W228&gt;=1,X228&lt;&gt;"",Y228&lt;&gt;"",COUNTA(Z228:AL228)=13,AM228&lt;&gt;"",AN228&lt;&gt;"",AO228&lt;&gt;"",AP228&lt;&gt;"",AQ228&lt;&gt;"",AR228&lt;&gt;"",AS228="I_listened_at_1x_and_completed_all_required_fields",AT228&lt;&gt;"",AW228="adjudicated",OR(AY228="no",AND(AU228&lt;&gt;"",AV228&lt;&gt;""))),"complete","incomplete")</x:f>
        <x:v>incomplete</x:v>
      </x:c>
      <x:c r="BA228" s="18" t="str">
        <x:f>IF(AZ228="complete","none","faltan campos humanos, adjudicación o segunda revisión")</x:f>
        <x:v>faltan campos humanos, adjudicación o segunda revisión</x:v>
      </x:c>
    </x:row>
    <x:row r="229" ht="36" customHeight="1">
      <x:c r="A229" s="15" t="n">
        <x:v>228</x:v>
      </x:c>
      <x:c r="B229" s="15" t="str">
        <x:v>P3-SAMPLE</x:v>
      </x:c>
      <x:c r="C229" s="15" t="str">
        <x:v>no</x:v>
      </x:c>
      <x:c r="D229" s="15" t="str">
        <x:v>asset:toefl:set-11:part-12:repeat-3</x:v>
      </x:c>
      <x:c r="E229" s="15" t="str">
        <x:v>set-11</x:v>
      </x:c>
      <x:c r="F229" s="15" t="str">
        <x:v>Listen and Repeat</x:v>
      </x:c>
      <x:c r="G229" s="15" t="str">
        <x:v>/Users/josedavidduartesilva/Developer/idiomaswl/public/audio/toefl/set-11/repeat-3.mp3</x:v>
      </x:c>
      <x:c r="H229" s="19" t="n">
        <x:v>3.46</x:v>
      </x:c>
      <x:c r="I229" s="15" t="str">
        <x:v>P3</x:v>
      </x:c>
      <x:c r="J229" s="15" t="str">
        <x:v>stratified_sample_T08</x:v>
      </x:c>
      <x:c r="K229" s="15" t="str">
        <x:v>pass_automated_T06</x:v>
      </x:c>
      <x:c r="L229" s="15" t="str">
        <x:v>none</x:v>
      </x:c>
      <x:c r="M229" s="15" t="str">
        <x:v>none</x:v>
      </x:c>
      <x:c r="N229" s="15" t="str">
        <x:v>conserve_source_technical_candidate</x:v>
      </x:c>
      <x:c r="O229" s="15" t="str">
        <x:v>source_exact_normalized_supported_pending_human</x:v>
      </x:c>
      <x:c r="P229" s="15" t="str">
        <x:v>stratified_human_confirmation</x:v>
      </x:c>
      <x:c r="Q229" s="15" t="str">
        <x:v>The teacher asked the students to work in small groups.</x:v>
      </x:c>
      <x:c r="R229" s="15" t="str">
        <x:v>The teacher asked the students to work in small groups.</x:v>
      </x:c>
      <x:c r="S229" s="15" t="str">
        <x:v>none</x:v>
      </x:c>
      <x:c r="T229" s="15" t="str">
        <x:v>source_contract_preserved_subject_to_T08</x:v>
      </x:c>
      <x:c r="U229" s="15" t="str">
        <x:v>A_linguistic_conserve_candidate</x:v>
      </x:c>
      <x:c r="V229" s="16" t="str">
        <x:v>not_started</x:v>
      </x:c>
      <x:c r="W229" s="16"/>
      <x:c r="X229" s="16"/>
      <x:c r="Y229" s="16"/>
      <x:c r="Z229" s="16"/>
      <x:c r="AA229" s="16"/>
      <x:c r="AB229" s="16"/>
      <x:c r="AC229" s="16"/>
      <x:c r="AD229" s="16"/>
      <x:c r="AE229" s="16"/>
      <x:c r="AF229" s="16"/>
      <x:c r="AG229" s="16"/>
      <x:c r="AH229" s="16"/>
      <x:c r="AI229" s="16"/>
      <x:c r="AJ229" s="16"/>
      <x:c r="AK229" s="16"/>
      <x:c r="AL229" s="16"/>
      <x:c r="AM229" s="16"/>
      <x:c r="AN229" s="16"/>
      <x:c r="AO229" s="16"/>
      <x:c r="AP229" s="16"/>
      <x:c r="AQ229" s="16"/>
      <x:c r="AR229" s="16"/>
      <x:c r="AS229" s="16"/>
      <x:c r="AT229" s="20"/>
      <x:c r="AU229" s="16"/>
      <x:c r="AV229" s="16"/>
      <x:c r="AW229" s="16" t="str">
        <x:v>pending</x:v>
      </x:c>
      <x:c r="AX229" s="17" t="str">
        <x:v>blocked_not_validated</x:v>
      </x:c>
      <x:c r="AY229" s="18" t="str">
        <x:f>IF(OR(C229="yes",X229="corrected",COUNTIF(Z229:AL229,"major")&gt;0,COUNTIF(Z229:AL229,"blocker")&gt;0,OR(AO229="repair",AO229="segment",AO229="replace",AO229="block")),"yes","no")</x:f>
        <x:v>no</x:v>
      </x:c>
      <x:c r="AZ229" s="18" t="str">
        <x:f>IF(AND(V229="reviewed",W229&gt;=1,X229&lt;&gt;"",Y229&lt;&gt;"",COUNTA(Z229:AL229)=13,AM229&lt;&gt;"",AN229&lt;&gt;"",AO229&lt;&gt;"",AP229&lt;&gt;"",AQ229&lt;&gt;"",AR229&lt;&gt;"",AS229="I_listened_at_1x_and_completed_all_required_fields",AT229&lt;&gt;"",AW229="adjudicated",OR(AY229="no",AND(AU229&lt;&gt;"",AV229&lt;&gt;""))),"complete","incomplete")</x:f>
        <x:v>incomplete</x:v>
      </x:c>
      <x:c r="BA229" s="18" t="str">
        <x:f>IF(AZ229="complete","none","faltan campos humanos, adjudicación o segunda revisión")</x:f>
        <x:v>faltan campos humanos, adjudicación o segunda revisión</x:v>
      </x:c>
    </x:row>
    <x:row r="230" ht="36" customHeight="1">
      <x:c r="A230" s="15" t="n">
        <x:v>229</x:v>
      </x:c>
      <x:c r="B230" s="15" t="str">
        <x:v>P3-SAMPLE</x:v>
      </x:c>
      <x:c r="C230" s="15" t="str">
        <x:v>no</x:v>
      </x:c>
      <x:c r="D230" s="15" t="str">
        <x:v>asset:toefl:set-11:part-12:repeat-4</x:v>
      </x:c>
      <x:c r="E230" s="15" t="str">
        <x:v>set-11</x:v>
      </x:c>
      <x:c r="F230" s="15" t="str">
        <x:v>Listen and Repeat</x:v>
      </x:c>
      <x:c r="G230" s="15" t="str">
        <x:v>/Users/josedavidduartesilva/Developer/idiomaswl/public/audio/toefl/set-11/repeat-4.mp3</x:v>
      </x:c>
      <x:c r="H230" s="19" t="n">
        <x:v>4.9</x:v>
      </x:c>
      <x:c r="I230" s="15" t="str">
        <x:v>P3</x:v>
      </x:c>
      <x:c r="J230" s="15" t="str">
        <x:v>stratified_sample_T08</x:v>
      </x:c>
      <x:c r="K230" s="15" t="str">
        <x:v>pass_automated_T06</x:v>
      </x:c>
      <x:c r="L230" s="15" t="str">
        <x:v>none</x:v>
      </x:c>
      <x:c r="M230" s="15" t="str">
        <x:v>none</x:v>
      </x:c>
      <x:c r="N230" s="15" t="str">
        <x:v>conserve_source_technical_candidate</x:v>
      </x:c>
      <x:c r="O230" s="15" t="str">
        <x:v>source_exact_normalized_supported_pending_human</x:v>
      </x:c>
      <x:c r="P230" s="15" t="str">
        <x:v>stratified_human_confirmation</x:v>
      </x:c>
      <x:c r="Q230" s="15" t="str">
        <x:v>The city council approved a plan to build more bicycle lanes downtown.</x:v>
      </x:c>
      <x:c r="R230" s="15" t="str">
        <x:v>The City Council approved a plan to build more bicycle lanes downtown.</x:v>
      </x:c>
      <x:c r="S230" s="15" t="str">
        <x:v>none</x:v>
      </x:c>
      <x:c r="T230" s="15" t="str">
        <x:v>source_contract_preserved_subject_to_T08</x:v>
      </x:c>
      <x:c r="U230" s="15" t="str">
        <x:v>A_linguistic_conserve_candidate</x:v>
      </x:c>
      <x:c r="V230" s="16" t="str">
        <x:v>not_started</x:v>
      </x:c>
      <x:c r="W230" s="16"/>
      <x:c r="X230" s="16"/>
      <x:c r="Y230" s="16"/>
      <x:c r="Z230" s="16"/>
      <x:c r="AA230" s="16"/>
      <x:c r="AB230" s="16"/>
      <x:c r="AC230" s="16"/>
      <x:c r="AD230" s="16"/>
      <x:c r="AE230" s="16"/>
      <x:c r="AF230" s="16"/>
      <x:c r="AG230" s="16"/>
      <x:c r="AH230" s="16"/>
      <x:c r="AI230" s="16"/>
      <x:c r="AJ230" s="16"/>
      <x:c r="AK230" s="16"/>
      <x:c r="AL230" s="16"/>
      <x:c r="AM230" s="16"/>
      <x:c r="AN230" s="16"/>
      <x:c r="AO230" s="16"/>
      <x:c r="AP230" s="16"/>
      <x:c r="AQ230" s="16"/>
      <x:c r="AR230" s="16"/>
      <x:c r="AS230" s="16"/>
      <x:c r="AT230" s="20"/>
      <x:c r="AU230" s="16"/>
      <x:c r="AV230" s="16"/>
      <x:c r="AW230" s="16" t="str">
        <x:v>pending</x:v>
      </x:c>
      <x:c r="AX230" s="17" t="str">
        <x:v>blocked_not_validated</x:v>
      </x:c>
      <x:c r="AY230" s="18" t="str">
        <x:f>IF(OR(C230="yes",X230="corrected",COUNTIF(Z230:AL230,"major")&gt;0,COUNTIF(Z230:AL230,"blocker")&gt;0,OR(AO230="repair",AO230="segment",AO230="replace",AO230="block")),"yes","no")</x:f>
        <x:v>no</x:v>
      </x:c>
      <x:c r="AZ230" s="18" t="str">
        <x:f>IF(AND(V230="reviewed",W230&gt;=1,X230&lt;&gt;"",Y230&lt;&gt;"",COUNTA(Z230:AL230)=13,AM230&lt;&gt;"",AN230&lt;&gt;"",AO230&lt;&gt;"",AP230&lt;&gt;"",AQ230&lt;&gt;"",AR230&lt;&gt;"",AS230="I_listened_at_1x_and_completed_all_required_fields",AT230&lt;&gt;"",AW230="adjudicated",OR(AY230="no",AND(AU230&lt;&gt;"",AV230&lt;&gt;""))),"complete","incomplete")</x:f>
        <x:v>incomplete</x:v>
      </x:c>
      <x:c r="BA230" s="18" t="str">
        <x:f>IF(AZ230="complete","none","faltan campos humanos, adjudicación o segunda revisión")</x:f>
        <x:v>faltan campos humanos, adjudicación o segunda revisión</x:v>
      </x:c>
    </x:row>
    <x:row r="231" ht="36" customHeight="1">
      <x:c r="A231" s="15" t="n">
        <x:v>230</x:v>
      </x:c>
      <x:c r="B231" s="15" t="str">
        <x:v>P3-SAMPLE</x:v>
      </x:c>
      <x:c r="C231" s="15" t="str">
        <x:v>no</x:v>
      </x:c>
      <x:c r="D231" s="15" t="str">
        <x:v>asset:toefl:set-11:part-12:repeat-5</x:v>
      </x:c>
      <x:c r="E231" s="15" t="str">
        <x:v>set-11</x:v>
      </x:c>
      <x:c r="F231" s="15" t="str">
        <x:v>Listen and Repeat</x:v>
      </x:c>
      <x:c r="G231" s="15" t="str">
        <x:v>/Users/josedavidduartesilva/Developer/idiomaswl/public/audio/toefl/set-11/repeat-5.mp3</x:v>
      </x:c>
      <x:c r="H231" s="19" t="n">
        <x:v>5.06</x:v>
      </x:c>
      <x:c r="I231" s="15" t="str">
        <x:v>P3</x:v>
      </x:c>
      <x:c r="J231" s="15" t="str">
        <x:v>stratified_sample_T08</x:v>
      </x:c>
      <x:c r="K231" s="15" t="str">
        <x:v>pass_with_actionable_warning</x:v>
      </x:c>
      <x:c r="L231" s="15" t="str">
        <x:v>none</x:v>
      </x:c>
      <x:c r="M231" s="15" t="str">
        <x:v>TECH-PEAK-003</x:v>
      </x:c>
      <x:c r="N231" s="15" t="str">
        <x:v>review_warning_in_T08_before_conserve</x:v>
      </x:c>
      <x:c r="O231" s="15" t="str">
        <x:v>source_exact_normalized_supported_pending_human</x:v>
      </x:c>
      <x:c r="P231" s="15" t="str">
        <x:v>stratified_human_confirmation</x:v>
      </x:c>
      <x:c r="Q231" s="15" t="str">
        <x:v>Because the flight had been delayed, the passengers were offered vouchers for a free meal.</x:v>
      </x:c>
      <x:c r="R231" s="15" t="str">
        <x:v>Because the flight had been delayed, the passengers were offered vouchers for a free meal.</x:v>
      </x:c>
      <x:c r="S231" s="15" t="str">
        <x:v>none</x:v>
      </x:c>
      <x:c r="T231" s="15" t="str">
        <x:v>source_contract_preserved_subject_to_T08</x:v>
      </x:c>
      <x:c r="U231" s="15" t="str">
        <x:v>A_linguistic_conserve_candidate</x:v>
      </x:c>
      <x:c r="V231" s="16" t="str">
        <x:v>not_started</x:v>
      </x:c>
      <x:c r="W231" s="16"/>
      <x:c r="X231" s="16"/>
      <x:c r="Y231" s="16"/>
      <x:c r="Z231" s="16"/>
      <x:c r="AA231" s="16"/>
      <x:c r="AB231" s="16"/>
      <x:c r="AC231" s="16"/>
      <x:c r="AD231" s="16"/>
      <x:c r="AE231" s="16"/>
      <x:c r="AF231" s="16"/>
      <x:c r="AG231" s="16"/>
      <x:c r="AH231" s="16"/>
      <x:c r="AI231" s="16"/>
      <x:c r="AJ231" s="16"/>
      <x:c r="AK231" s="16"/>
      <x:c r="AL231" s="16"/>
      <x:c r="AM231" s="16"/>
      <x:c r="AN231" s="16"/>
      <x:c r="AO231" s="16"/>
      <x:c r="AP231" s="16"/>
      <x:c r="AQ231" s="16"/>
      <x:c r="AR231" s="16"/>
      <x:c r="AS231" s="16"/>
      <x:c r="AT231" s="20"/>
      <x:c r="AU231" s="16"/>
      <x:c r="AV231" s="16"/>
      <x:c r="AW231" s="16" t="str">
        <x:v>pending</x:v>
      </x:c>
      <x:c r="AX231" s="17" t="str">
        <x:v>blocked_not_validated</x:v>
      </x:c>
      <x:c r="AY231" s="18" t="str">
        <x:f>IF(OR(C231="yes",X231="corrected",COUNTIF(Z231:AL231,"major")&gt;0,COUNTIF(Z231:AL231,"blocker")&gt;0,OR(AO231="repair",AO231="segment",AO231="replace",AO231="block")),"yes","no")</x:f>
        <x:v>no</x:v>
      </x:c>
      <x:c r="AZ231" s="18" t="str">
        <x:f>IF(AND(V231="reviewed",W231&gt;=1,X231&lt;&gt;"",Y231&lt;&gt;"",COUNTA(Z231:AL231)=13,AM231&lt;&gt;"",AN231&lt;&gt;"",AO231&lt;&gt;"",AP231&lt;&gt;"",AQ231&lt;&gt;"",AR231&lt;&gt;"",AS231="I_listened_at_1x_and_completed_all_required_fields",AT231&lt;&gt;"",AW231="adjudicated",OR(AY231="no",AND(AU231&lt;&gt;"",AV231&lt;&gt;""))),"complete","incomplete")</x:f>
        <x:v>incomplete</x:v>
      </x:c>
      <x:c r="BA231" s="18" t="str">
        <x:f>IF(AZ231="complete","none","faltan campos humanos, adjudicación o segunda revisión")</x:f>
        <x:v>faltan campos humanos, adjudicación o segunda revisión</x:v>
      </x:c>
    </x:row>
    <x:row r="232" ht="36" customHeight="1">
      <x:c r="A232" s="15" t="n">
        <x:v>231</x:v>
      </x:c>
      <x:c r="B232" s="15" t="str">
        <x:v>P3-SAMPLE</x:v>
      </x:c>
      <x:c r="C232" s="15" t="str">
        <x:v>no</x:v>
      </x:c>
      <x:c r="D232" s="15" t="str">
        <x:v>asset:toefl:set-12:part-12:repeat-1</x:v>
      </x:c>
      <x:c r="E232" s="15" t="str">
        <x:v>set-12</x:v>
      </x:c>
      <x:c r="F232" s="15" t="str">
        <x:v>Listen and Repeat</x:v>
      </x:c>
      <x:c r="G232" s="15" t="str">
        <x:v>/Users/josedavidduartesilva/Developer/idiomaswl/public/audio/toefl/set-12/repeat-1.mp3</x:v>
      </x:c>
      <x:c r="H232" s="19" t="n">
        <x:v>1.7</x:v>
      </x:c>
      <x:c r="I232" s="15" t="str">
        <x:v>P3</x:v>
      </x:c>
      <x:c r="J232" s="15" t="str">
        <x:v>stratified_sample_T08</x:v>
      </x:c>
      <x:c r="K232" s="15" t="str">
        <x:v>pass_automated_T06</x:v>
      </x:c>
      <x:c r="L232" s="15" t="str">
        <x:v>none</x:v>
      </x:c>
      <x:c r="M232" s="15" t="str">
        <x:v>none</x:v>
      </x:c>
      <x:c r="N232" s="15" t="str">
        <x:v>conserve_source_technical_candidate</x:v>
      </x:c>
      <x:c r="O232" s="15" t="str">
        <x:v>source_exact_normalized_supported_pending_human</x:v>
      </x:c>
      <x:c r="P232" s="15" t="str">
        <x:v>stratified_human_confirmation</x:v>
      </x:c>
      <x:c r="Q232" s="15" t="str">
        <x:v>The bus stops here.</x:v>
      </x:c>
      <x:c r="R232" s="15" t="str">
        <x:v>The bus stops here.</x:v>
      </x:c>
      <x:c r="S232" s="15" t="str">
        <x:v>none</x:v>
      </x:c>
      <x:c r="T232" s="15" t="str">
        <x:v>source_contract_preserved_subject_to_T08</x:v>
      </x:c>
      <x:c r="U232" s="15" t="str">
        <x:v>A_linguistic_conserve_candidate</x:v>
      </x:c>
      <x:c r="V232" s="16" t="str">
        <x:v>not_started</x:v>
      </x:c>
      <x:c r="W232" s="16"/>
      <x:c r="X232" s="16"/>
      <x:c r="Y232" s="16"/>
      <x:c r="Z232" s="16"/>
      <x:c r="AA232" s="16"/>
      <x:c r="AB232" s="16"/>
      <x:c r="AC232" s="16"/>
      <x:c r="AD232" s="16"/>
      <x:c r="AE232" s="16"/>
      <x:c r="AF232" s="16"/>
      <x:c r="AG232" s="16"/>
      <x:c r="AH232" s="16"/>
      <x:c r="AI232" s="16"/>
      <x:c r="AJ232" s="16"/>
      <x:c r="AK232" s="16"/>
      <x:c r="AL232" s="16"/>
      <x:c r="AM232" s="16"/>
      <x:c r="AN232" s="16"/>
      <x:c r="AO232" s="16"/>
      <x:c r="AP232" s="16"/>
      <x:c r="AQ232" s="16"/>
      <x:c r="AR232" s="16"/>
      <x:c r="AS232" s="16"/>
      <x:c r="AT232" s="20"/>
      <x:c r="AU232" s="16"/>
      <x:c r="AV232" s="16"/>
      <x:c r="AW232" s="16" t="str">
        <x:v>pending</x:v>
      </x:c>
      <x:c r="AX232" s="17" t="str">
        <x:v>blocked_not_validated</x:v>
      </x:c>
      <x:c r="AY232" s="18" t="str">
        <x:f>IF(OR(C232="yes",X232="corrected",COUNTIF(Z232:AL232,"major")&gt;0,COUNTIF(Z232:AL232,"blocker")&gt;0,OR(AO232="repair",AO232="segment",AO232="replace",AO232="block")),"yes","no")</x:f>
        <x:v>no</x:v>
      </x:c>
      <x:c r="AZ232" s="18" t="str">
        <x:f>IF(AND(V232="reviewed",W232&gt;=1,X232&lt;&gt;"",Y232&lt;&gt;"",COUNTA(Z232:AL232)=13,AM232&lt;&gt;"",AN232&lt;&gt;"",AO232&lt;&gt;"",AP232&lt;&gt;"",AQ232&lt;&gt;"",AR232&lt;&gt;"",AS232="I_listened_at_1x_and_completed_all_required_fields",AT232&lt;&gt;"",AW232="adjudicated",OR(AY232="no",AND(AU232&lt;&gt;"",AV232&lt;&gt;""))),"complete","incomplete")</x:f>
        <x:v>incomplete</x:v>
      </x:c>
      <x:c r="BA232" s="18" t="str">
        <x:f>IF(AZ232="complete","none","faltan campos humanos, adjudicación o segunda revisión")</x:f>
        <x:v>faltan campos humanos, adjudicación o segunda revisión</x:v>
      </x:c>
    </x:row>
    <x:row r="233" ht="36" customHeight="1">
      <x:c r="A233" s="15" t="n">
        <x:v>232</x:v>
      </x:c>
      <x:c r="B233" s="15" t="str">
        <x:v>P3-SAMPLE</x:v>
      </x:c>
      <x:c r="C233" s="15" t="str">
        <x:v>no</x:v>
      </x:c>
      <x:c r="D233" s="15" t="str">
        <x:v>asset:toefl:set-12:part-12:repeat-3</x:v>
      </x:c>
      <x:c r="E233" s="15" t="str">
        <x:v>set-12</x:v>
      </x:c>
      <x:c r="F233" s="15" t="str">
        <x:v>Listen and Repeat</x:v>
      </x:c>
      <x:c r="G233" s="15" t="str">
        <x:v>/Users/josedavidduartesilva/Developer/idiomaswl/public/audio/toefl/set-12/repeat-3.mp3</x:v>
      </x:c>
      <x:c r="H233" s="19" t="n">
        <x:v>3.7</x:v>
      </x:c>
      <x:c r="I233" s="15" t="str">
        <x:v>P3</x:v>
      </x:c>
      <x:c r="J233" s="15" t="str">
        <x:v>stratified_sample_T08</x:v>
      </x:c>
      <x:c r="K233" s="15" t="str">
        <x:v>pass_with_actionable_warning</x:v>
      </x:c>
      <x:c r="L233" s="15" t="str">
        <x:v>none</x:v>
      </x:c>
      <x:c r="M233" s="15" t="str">
        <x:v>TECH-PEAK-003</x:v>
      </x:c>
      <x:c r="N233" s="15" t="str">
        <x:v>review_warning_in_T08_before_conserve</x:v>
      </x:c>
      <x:c r="O233" s="15" t="str">
        <x:v>source_exact_normalized_supported_pending_human</x:v>
      </x:c>
      <x:c r="P233" s="15" t="str">
        <x:v>stratified_human_confirmation</x:v>
      </x:c>
      <x:c r="Q233" s="15" t="str">
        <x:v>The children built a sandcastle near the edge of the water.</x:v>
      </x:c>
      <x:c r="R233" s="15" t="str">
        <x:v>The children built a sandcastle near the edge of the water.</x:v>
      </x:c>
      <x:c r="S233" s="15" t="str">
        <x:v>none</x:v>
      </x:c>
      <x:c r="T233" s="15" t="str">
        <x:v>source_contract_preserved_subject_to_T08</x:v>
      </x:c>
      <x:c r="U233" s="15" t="str">
        <x:v>A_linguistic_conserve_candidate</x:v>
      </x:c>
      <x:c r="V233" s="16" t="str">
        <x:v>not_started</x:v>
      </x:c>
      <x:c r="W233" s="16"/>
      <x:c r="X233" s="16"/>
      <x:c r="Y233" s="16"/>
      <x:c r="Z233" s="16"/>
      <x:c r="AA233" s="16"/>
      <x:c r="AB233" s="16"/>
      <x:c r="AC233" s="16"/>
      <x:c r="AD233" s="16"/>
      <x:c r="AE233" s="16"/>
      <x:c r="AF233" s="16"/>
      <x:c r="AG233" s="16"/>
      <x:c r="AH233" s="16"/>
      <x:c r="AI233" s="16"/>
      <x:c r="AJ233" s="16"/>
      <x:c r="AK233" s="16"/>
      <x:c r="AL233" s="16"/>
      <x:c r="AM233" s="16"/>
      <x:c r="AN233" s="16"/>
      <x:c r="AO233" s="16"/>
      <x:c r="AP233" s="16"/>
      <x:c r="AQ233" s="16"/>
      <x:c r="AR233" s="16"/>
      <x:c r="AS233" s="16"/>
      <x:c r="AT233" s="20"/>
      <x:c r="AU233" s="16"/>
      <x:c r="AV233" s="16"/>
      <x:c r="AW233" s="16" t="str">
        <x:v>pending</x:v>
      </x:c>
      <x:c r="AX233" s="17" t="str">
        <x:v>blocked_not_validated</x:v>
      </x:c>
      <x:c r="AY233" s="18" t="str">
        <x:f>IF(OR(C233="yes",X233="corrected",COUNTIF(Z233:AL233,"major")&gt;0,COUNTIF(Z233:AL233,"blocker")&gt;0,OR(AO233="repair",AO233="segment",AO233="replace",AO233="block")),"yes","no")</x:f>
        <x:v>no</x:v>
      </x:c>
      <x:c r="AZ233" s="18" t="str">
        <x:f>IF(AND(V233="reviewed",W233&gt;=1,X233&lt;&gt;"",Y233&lt;&gt;"",COUNTA(Z233:AL233)=13,AM233&lt;&gt;"",AN233&lt;&gt;"",AO233&lt;&gt;"",AP233&lt;&gt;"",AQ233&lt;&gt;"",AR233&lt;&gt;"",AS233="I_listened_at_1x_and_completed_all_required_fields",AT233&lt;&gt;"",AW233="adjudicated",OR(AY233="no",AND(AU233&lt;&gt;"",AV233&lt;&gt;""))),"complete","incomplete")</x:f>
        <x:v>incomplete</x:v>
      </x:c>
      <x:c r="BA233" s="18" t="str">
        <x:f>IF(AZ233="complete","none","faltan campos humanos, adjudicación o segunda revisión")</x:f>
        <x:v>faltan campos humanos, adjudicación o segunda revisión</x:v>
      </x:c>
    </x:row>
    <x:row r="234" ht="36" customHeight="1">
      <x:c r="A234" s="15" t="n">
        <x:v>233</x:v>
      </x:c>
      <x:c r="B234" s="15" t="str">
        <x:v>P3-SAMPLE</x:v>
      </x:c>
      <x:c r="C234" s="15" t="str">
        <x:v>no</x:v>
      </x:c>
      <x:c r="D234" s="15" t="str">
        <x:v>asset:toefl:set-12:part-12:repeat-4</x:v>
      </x:c>
      <x:c r="E234" s="15" t="str">
        <x:v>set-12</x:v>
      </x:c>
      <x:c r="F234" s="15" t="str">
        <x:v>Listen and Repeat</x:v>
      </x:c>
      <x:c r="G234" s="15" t="str">
        <x:v>/Users/josedavidduartesilva/Developer/idiomaswl/public/audio/toefl/set-12/repeat-4.mp3</x:v>
      </x:c>
      <x:c r="H234" s="19" t="n">
        <x:v>4.58</x:v>
      </x:c>
      <x:c r="I234" s="15" t="str">
        <x:v>P3</x:v>
      </x:c>
      <x:c r="J234" s="15" t="str">
        <x:v>stratified_sample_T08</x:v>
      </x:c>
      <x:c r="K234" s="15" t="str">
        <x:v>pass_with_actionable_warning</x:v>
      </x:c>
      <x:c r="L234" s="15" t="str">
        <x:v>none</x:v>
      </x:c>
      <x:c r="M234" s="15" t="str">
        <x:v>TECH-PEAK-003</x:v>
      </x:c>
      <x:c r="N234" s="15" t="str">
        <x:v>review_warning_in_T08_before_conserve</x:v>
      </x:c>
      <x:c r="O234" s="15" t="str">
        <x:v>source_exact_normalized_supported_pending_human</x:v>
      </x:c>
      <x:c r="P234" s="15" t="str">
        <x:v>stratified_human_confirmation</x:v>
      </x:c>
      <x:c r="Q234" s="15" t="str">
        <x:v>The engineer described how the new bridge would reduce traffic in the area.</x:v>
      </x:c>
      <x:c r="R234" s="15" t="str">
        <x:v>The engineer described how the new bridge would reduce traffic in the area.</x:v>
      </x:c>
      <x:c r="S234" s="15" t="str">
        <x:v>none</x:v>
      </x:c>
      <x:c r="T234" s="15" t="str">
        <x:v>source_contract_preserved_subject_to_T08</x:v>
      </x:c>
      <x:c r="U234" s="15" t="str">
        <x:v>A_linguistic_conserve_candidate</x:v>
      </x:c>
      <x:c r="V234" s="16" t="str">
        <x:v>not_started</x:v>
      </x:c>
      <x:c r="W234" s="16"/>
      <x:c r="X234" s="16"/>
      <x:c r="Y234" s="16"/>
      <x:c r="Z234" s="16"/>
      <x:c r="AA234" s="16"/>
      <x:c r="AB234" s="16"/>
      <x:c r="AC234" s="16"/>
      <x:c r="AD234" s="16"/>
      <x:c r="AE234" s="16"/>
      <x:c r="AF234" s="16"/>
      <x:c r="AG234" s="16"/>
      <x:c r="AH234" s="16"/>
      <x:c r="AI234" s="16"/>
      <x:c r="AJ234" s="16"/>
      <x:c r="AK234" s="16"/>
      <x:c r="AL234" s="16"/>
      <x:c r="AM234" s="16"/>
      <x:c r="AN234" s="16"/>
      <x:c r="AO234" s="16"/>
      <x:c r="AP234" s="16"/>
      <x:c r="AQ234" s="16"/>
      <x:c r="AR234" s="16"/>
      <x:c r="AS234" s="16"/>
      <x:c r="AT234" s="20"/>
      <x:c r="AU234" s="16"/>
      <x:c r="AV234" s="16"/>
      <x:c r="AW234" s="16" t="str">
        <x:v>pending</x:v>
      </x:c>
      <x:c r="AX234" s="17" t="str">
        <x:v>blocked_not_validated</x:v>
      </x:c>
      <x:c r="AY234" s="18" t="str">
        <x:f>IF(OR(C234="yes",X234="corrected",COUNTIF(Z234:AL234,"major")&gt;0,COUNTIF(Z234:AL234,"blocker")&gt;0,OR(AO234="repair",AO234="segment",AO234="replace",AO234="block")),"yes","no")</x:f>
        <x:v>no</x:v>
      </x:c>
      <x:c r="AZ234" s="18" t="str">
        <x:f>IF(AND(V234="reviewed",W234&gt;=1,X234&lt;&gt;"",Y234&lt;&gt;"",COUNTA(Z234:AL234)=13,AM234&lt;&gt;"",AN234&lt;&gt;"",AO234&lt;&gt;"",AP234&lt;&gt;"",AQ234&lt;&gt;"",AR234&lt;&gt;"",AS234="I_listened_at_1x_and_completed_all_required_fields",AT234&lt;&gt;"",AW234="adjudicated",OR(AY234="no",AND(AU234&lt;&gt;"",AV234&lt;&gt;""))),"complete","incomplete")</x:f>
        <x:v>incomplete</x:v>
      </x:c>
      <x:c r="BA234" s="18" t="str">
        <x:f>IF(AZ234="complete","none","faltan campos humanos, adjudicación o segunda revisión")</x:f>
        <x:v>faltan campos humanos, adjudicación o segunda revisión</x:v>
      </x:c>
    </x:row>
    <x:row r="235" ht="36" customHeight="1">
      <x:c r="A235" s="15" t="n">
        <x:v>234</x:v>
      </x:c>
      <x:c r="B235" s="15" t="str">
        <x:v>P3-SAMPLE</x:v>
      </x:c>
      <x:c r="C235" s="15" t="str">
        <x:v>no</x:v>
      </x:c>
      <x:c r="D235" s="15" t="str">
        <x:v>asset:toefl:set-12:part-12:repeat-5</x:v>
      </x:c>
      <x:c r="E235" s="15" t="str">
        <x:v>set-12</x:v>
      </x:c>
      <x:c r="F235" s="15" t="str">
        <x:v>Listen and Repeat</x:v>
      </x:c>
      <x:c r="G235" s="15" t="str">
        <x:v>/Users/josedavidduartesilva/Developer/idiomaswl/public/audio/toefl/set-12/repeat-5.mp3</x:v>
      </x:c>
      <x:c r="H235" s="19" t="n">
        <x:v>5.62</x:v>
      </x:c>
      <x:c r="I235" s="15" t="str">
        <x:v>P3</x:v>
      </x:c>
      <x:c r="J235" s="15" t="str">
        <x:v>stratified_sample_T08</x:v>
      </x:c>
      <x:c r="K235" s="15" t="str">
        <x:v>pass_automated_T06</x:v>
      </x:c>
      <x:c r="L235" s="15" t="str">
        <x:v>none</x:v>
      </x:c>
      <x:c r="M235" s="15" t="str">
        <x:v>none</x:v>
      </x:c>
      <x:c r="N235" s="15" t="str">
        <x:v>conserve_source_technical_candidate</x:v>
      </x:c>
      <x:c r="O235" s="15" t="str">
        <x:v>source_exact_normalized_supported_pending_human</x:v>
      </x:c>
      <x:c r="P235" s="15" t="str">
        <x:v>stratified_human_confirmation</x:v>
      </x:c>
      <x:c r="Q235" s="15" t="str">
        <x:v>Although few people attended the first meeting, interest in the project grew steadily over time.</x:v>
      </x:c>
      <x:c r="R235" s="15" t="str">
        <x:v>Although few people attended the first meeting, interest in the project grew steadily over time.</x:v>
      </x:c>
      <x:c r="S235" s="15" t="str">
        <x:v>none</x:v>
      </x:c>
      <x:c r="T235" s="15" t="str">
        <x:v>source_contract_preserved_subject_to_T08</x:v>
      </x:c>
      <x:c r="U235" s="15" t="str">
        <x:v>A_linguistic_conserve_candidate</x:v>
      </x:c>
      <x:c r="V235" s="16" t="str">
        <x:v>not_started</x:v>
      </x:c>
      <x:c r="W235" s="16"/>
      <x:c r="X235" s="16"/>
      <x:c r="Y235" s="16"/>
      <x:c r="Z235" s="16"/>
      <x:c r="AA235" s="16"/>
      <x:c r="AB235" s="16"/>
      <x:c r="AC235" s="16"/>
      <x:c r="AD235" s="16"/>
      <x:c r="AE235" s="16"/>
      <x:c r="AF235" s="16"/>
      <x:c r="AG235" s="16"/>
      <x:c r="AH235" s="16"/>
      <x:c r="AI235" s="16"/>
      <x:c r="AJ235" s="16"/>
      <x:c r="AK235" s="16"/>
      <x:c r="AL235" s="16"/>
      <x:c r="AM235" s="16"/>
      <x:c r="AN235" s="16"/>
      <x:c r="AO235" s="16"/>
      <x:c r="AP235" s="16"/>
      <x:c r="AQ235" s="16"/>
      <x:c r="AR235" s="16"/>
      <x:c r="AS235" s="16"/>
      <x:c r="AT235" s="20"/>
      <x:c r="AU235" s="16"/>
      <x:c r="AV235" s="16"/>
      <x:c r="AW235" s="16" t="str">
        <x:v>pending</x:v>
      </x:c>
      <x:c r="AX235" s="17" t="str">
        <x:v>blocked_not_validated</x:v>
      </x:c>
      <x:c r="AY235" s="18" t="str">
        <x:f>IF(OR(C235="yes",X235="corrected",COUNTIF(Z235:AL235,"major")&gt;0,COUNTIF(Z235:AL235,"blocker")&gt;0,OR(AO235="repair",AO235="segment",AO235="replace",AO235="block")),"yes","no")</x:f>
        <x:v>no</x:v>
      </x:c>
      <x:c r="AZ235" s="18" t="str">
        <x:f>IF(AND(V235="reviewed",W235&gt;=1,X235&lt;&gt;"",Y235&lt;&gt;"",COUNTA(Z235:AL235)=13,AM235&lt;&gt;"",AN235&lt;&gt;"",AO235&lt;&gt;"",AP235&lt;&gt;"",AQ235&lt;&gt;"",AR235&lt;&gt;"",AS235="I_listened_at_1x_and_completed_all_required_fields",AT235&lt;&gt;"",AW235="adjudicated",OR(AY235="no",AND(AU235&lt;&gt;"",AV235&lt;&gt;""))),"complete","incomplete")</x:f>
        <x:v>incomplete</x:v>
      </x:c>
      <x:c r="BA235" s="18" t="str">
        <x:f>IF(AZ235="complete","none","faltan campos humanos, adjudicación o segunda revisión")</x:f>
        <x:v>faltan campos humanos, adjudicación o segunda revisión</x:v>
      </x:c>
    </x:row>
    <x:row r="236" ht="36" customHeight="1">
      <x:c r="A236" s="15" t="n">
        <x:v>235</x:v>
      </x:c>
      <x:c r="B236" s="15" t="str">
        <x:v>P3-SAMPLE</x:v>
      </x:c>
      <x:c r="C236" s="15" t="str">
        <x:v>no</x:v>
      </x:c>
      <x:c r="D236" s="15" t="str">
        <x:v>asset:toefl:set-13:part-12:repeat-1</x:v>
      </x:c>
      <x:c r="E236" s="15" t="str">
        <x:v>set-13</x:v>
      </x:c>
      <x:c r="F236" s="15" t="str">
        <x:v>Listen and Repeat</x:v>
      </x:c>
      <x:c r="G236" s="15" t="str">
        <x:v>/Users/josedavidduartesilva/Developer/idiomaswl/public/audio/toefl/set-13/repeat-1.mp3</x:v>
      </x:c>
      <x:c r="H236" s="19" t="n">
        <x:v>2.1</x:v>
      </x:c>
      <x:c r="I236" s="15" t="str">
        <x:v>P3</x:v>
      </x:c>
      <x:c r="J236" s="15" t="str">
        <x:v>stratified_sample_T08</x:v>
      </x:c>
      <x:c r="K236" s="15" t="str">
        <x:v>pass_automated_T06</x:v>
      </x:c>
      <x:c r="L236" s="15" t="str">
        <x:v>none</x:v>
      </x:c>
      <x:c r="M236" s="15" t="str">
        <x:v>none</x:v>
      </x:c>
      <x:c r="N236" s="15" t="str">
        <x:v>conserve_source_technical_candidate</x:v>
      </x:c>
      <x:c r="O236" s="15" t="str">
        <x:v>source_exact_normalized_supported_pending_human</x:v>
      </x:c>
      <x:c r="P236" s="15" t="str">
        <x:v>stratified_human_confirmation</x:v>
      </x:c>
      <x:c r="Q236" s="15" t="str">
        <x:v>The lesson ends at noon.</x:v>
      </x:c>
      <x:c r="R236" s="15" t="str">
        <x:v>The lesson ends at noon.</x:v>
      </x:c>
      <x:c r="S236" s="15" t="str">
        <x:v>none</x:v>
      </x:c>
      <x:c r="T236" s="15" t="str">
        <x:v>source_contract_preserved_subject_to_T08</x:v>
      </x:c>
      <x:c r="U236" s="15" t="str">
        <x:v>A_linguistic_conserve_candidate</x:v>
      </x:c>
      <x:c r="V236" s="16" t="str">
        <x:v>not_started</x:v>
      </x:c>
      <x:c r="W236" s="16"/>
      <x:c r="X236" s="16"/>
      <x:c r="Y236" s="16"/>
      <x:c r="Z236" s="16"/>
      <x:c r="AA236" s="16"/>
      <x:c r="AB236" s="16"/>
      <x:c r="AC236" s="16"/>
      <x:c r="AD236" s="16"/>
      <x:c r="AE236" s="16"/>
      <x:c r="AF236" s="16"/>
      <x:c r="AG236" s="16"/>
      <x:c r="AH236" s="16"/>
      <x:c r="AI236" s="16"/>
      <x:c r="AJ236" s="16"/>
      <x:c r="AK236" s="16"/>
      <x:c r="AL236" s="16"/>
      <x:c r="AM236" s="16"/>
      <x:c r="AN236" s="16"/>
      <x:c r="AO236" s="16"/>
      <x:c r="AP236" s="16"/>
      <x:c r="AQ236" s="16"/>
      <x:c r="AR236" s="16"/>
      <x:c r="AS236" s="16"/>
      <x:c r="AT236" s="20"/>
      <x:c r="AU236" s="16"/>
      <x:c r="AV236" s="16"/>
      <x:c r="AW236" s="16" t="str">
        <x:v>pending</x:v>
      </x:c>
      <x:c r="AX236" s="17" t="str">
        <x:v>blocked_not_validated</x:v>
      </x:c>
      <x:c r="AY236" s="18" t="str">
        <x:f>IF(OR(C236="yes",X236="corrected",COUNTIF(Z236:AL236,"major")&gt;0,COUNTIF(Z236:AL236,"blocker")&gt;0,OR(AO236="repair",AO236="segment",AO236="replace",AO236="block")),"yes","no")</x:f>
        <x:v>no</x:v>
      </x:c>
      <x:c r="AZ236" s="18" t="str">
        <x:f>IF(AND(V236="reviewed",W236&gt;=1,X236&lt;&gt;"",Y236&lt;&gt;"",COUNTA(Z236:AL236)=13,AM236&lt;&gt;"",AN236&lt;&gt;"",AO236&lt;&gt;"",AP236&lt;&gt;"",AQ236&lt;&gt;"",AR236&lt;&gt;"",AS236="I_listened_at_1x_and_completed_all_required_fields",AT236&lt;&gt;"",AW236="adjudicated",OR(AY236="no",AND(AU236&lt;&gt;"",AV236&lt;&gt;""))),"complete","incomplete")</x:f>
        <x:v>incomplete</x:v>
      </x:c>
      <x:c r="BA236" s="18" t="str">
        <x:f>IF(AZ236="complete","none","faltan campos humanos, adjudicación o segunda revisión")</x:f>
        <x:v>faltan campos humanos, adjudicación o segunda revisión</x:v>
      </x:c>
    </x:row>
    <x:row r="237" ht="36" customHeight="1">
      <x:c r="A237" s="15" t="n">
        <x:v>236</x:v>
      </x:c>
      <x:c r="B237" s="15" t="str">
        <x:v>P3-SAMPLE</x:v>
      </x:c>
      <x:c r="C237" s="15" t="str">
        <x:v>no</x:v>
      </x:c>
      <x:c r="D237" s="15" t="str">
        <x:v>asset:toefl:set-13:part-12:repeat-2</x:v>
      </x:c>
      <x:c r="E237" s="15" t="str">
        <x:v>set-13</x:v>
      </x:c>
      <x:c r="F237" s="15" t="str">
        <x:v>Listen and Repeat</x:v>
      </x:c>
      <x:c r="G237" s="15" t="str">
        <x:v>/Users/josedavidduartesilva/Developer/idiomaswl/public/audio/toefl/set-13/repeat-2.mp3</x:v>
      </x:c>
      <x:c r="H237" s="19" t="n">
        <x:v>3.14</x:v>
      </x:c>
      <x:c r="I237" s="15" t="str">
        <x:v>P3</x:v>
      </x:c>
      <x:c r="J237" s="15" t="str">
        <x:v>stratified_sample_T08</x:v>
      </x:c>
      <x:c r="K237" s="15" t="str">
        <x:v>pass_with_actionable_warning</x:v>
      </x:c>
      <x:c r="L237" s="15" t="str">
        <x:v>none</x:v>
      </x:c>
      <x:c r="M237" s="15" t="str">
        <x:v>TECH-PEAK-003</x:v>
      </x:c>
      <x:c r="N237" s="15" t="str">
        <x:v>review_warning_in_T08_before_conserve</x:v>
      </x:c>
      <x:c r="O237" s="15" t="str">
        <x:v>source_exact_normalized_supported_pending_human</x:v>
      </x:c>
      <x:c r="P237" s="15" t="str">
        <x:v>stratified_human_confirmation</x:v>
      </x:c>
      <x:c r="Q237" s="15" t="str">
        <x:v>He fixed the bicycle and rode it to school.</x:v>
      </x:c>
      <x:c r="R237" s="15" t="str">
        <x:v>He fixed the bicycle and rode it to school.</x:v>
      </x:c>
      <x:c r="S237" s="15" t="str">
        <x:v>none</x:v>
      </x:c>
      <x:c r="T237" s="15" t="str">
        <x:v>source_contract_preserved_subject_to_T08</x:v>
      </x:c>
      <x:c r="U237" s="15" t="str">
        <x:v>A_linguistic_conserve_candidate</x:v>
      </x:c>
      <x:c r="V237" s="16" t="str">
        <x:v>not_started</x:v>
      </x:c>
      <x:c r="W237" s="16"/>
      <x:c r="X237" s="16"/>
      <x:c r="Y237" s="16"/>
      <x:c r="Z237" s="16"/>
      <x:c r="AA237" s="16"/>
      <x:c r="AB237" s="16"/>
      <x:c r="AC237" s="16"/>
      <x:c r="AD237" s="16"/>
      <x:c r="AE237" s="16"/>
      <x:c r="AF237" s="16"/>
      <x:c r="AG237" s="16"/>
      <x:c r="AH237" s="16"/>
      <x:c r="AI237" s="16"/>
      <x:c r="AJ237" s="16"/>
      <x:c r="AK237" s="16"/>
      <x:c r="AL237" s="16"/>
      <x:c r="AM237" s="16"/>
      <x:c r="AN237" s="16"/>
      <x:c r="AO237" s="16"/>
      <x:c r="AP237" s="16"/>
      <x:c r="AQ237" s="16"/>
      <x:c r="AR237" s="16"/>
      <x:c r="AS237" s="16"/>
      <x:c r="AT237" s="20"/>
      <x:c r="AU237" s="16"/>
      <x:c r="AV237" s="16"/>
      <x:c r="AW237" s="16" t="str">
        <x:v>pending</x:v>
      </x:c>
      <x:c r="AX237" s="17" t="str">
        <x:v>blocked_not_validated</x:v>
      </x:c>
      <x:c r="AY237" s="18" t="str">
        <x:f>IF(OR(C237="yes",X237="corrected",COUNTIF(Z237:AL237,"major")&gt;0,COUNTIF(Z237:AL237,"blocker")&gt;0,OR(AO237="repair",AO237="segment",AO237="replace",AO237="block")),"yes","no")</x:f>
        <x:v>no</x:v>
      </x:c>
      <x:c r="AZ237" s="18" t="str">
        <x:f>IF(AND(V237="reviewed",W237&gt;=1,X237&lt;&gt;"",Y237&lt;&gt;"",COUNTA(Z237:AL237)=13,AM237&lt;&gt;"",AN237&lt;&gt;"",AO237&lt;&gt;"",AP237&lt;&gt;"",AQ237&lt;&gt;"",AR237&lt;&gt;"",AS237="I_listened_at_1x_and_completed_all_required_fields",AT237&lt;&gt;"",AW237="adjudicated",OR(AY237="no",AND(AU237&lt;&gt;"",AV237&lt;&gt;""))),"complete","incomplete")</x:f>
        <x:v>incomplete</x:v>
      </x:c>
      <x:c r="BA237" s="18" t="str">
        <x:f>IF(AZ237="complete","none","faltan campos humanos, adjudicación o segunda revisión")</x:f>
        <x:v>faltan campos humanos, adjudicación o segunda revisión</x:v>
      </x:c>
    </x:row>
    <x:row r="238" ht="36" customHeight="1">
      <x:c r="A238" s="15" t="n">
        <x:v>237</x:v>
      </x:c>
      <x:c r="B238" s="15" t="str">
        <x:v>P3-SAMPLE</x:v>
      </x:c>
      <x:c r="C238" s="15" t="str">
        <x:v>no</x:v>
      </x:c>
      <x:c r="D238" s="15" t="str">
        <x:v>asset:toefl:set-13:part-12:repeat-3</x:v>
      </x:c>
      <x:c r="E238" s="15" t="str">
        <x:v>set-13</x:v>
      </x:c>
      <x:c r="F238" s="15" t="str">
        <x:v>Listen and Repeat</x:v>
      </x:c>
      <x:c r="G238" s="15" t="str">
        <x:v>/Users/josedavidduartesilva/Developer/idiomaswl/public/audio/toefl/set-13/repeat-3.mp3</x:v>
      </x:c>
      <x:c r="H238" s="19" t="n">
        <x:v>3.46</x:v>
      </x:c>
      <x:c r="I238" s="15" t="str">
        <x:v>P3</x:v>
      </x:c>
      <x:c r="J238" s="15" t="str">
        <x:v>stratified_sample_T08</x:v>
      </x:c>
      <x:c r="K238" s="15" t="str">
        <x:v>pass_with_actionable_warning</x:v>
      </x:c>
      <x:c r="L238" s="15" t="str">
        <x:v>none</x:v>
      </x:c>
      <x:c r="M238" s="15" t="str">
        <x:v>TECH-PEAK-003</x:v>
      </x:c>
      <x:c r="N238" s="15" t="str">
        <x:v>review_warning_in_T08_before_conserve</x:v>
      </x:c>
      <x:c r="O238" s="15" t="str">
        <x:v>source_exact_normalized_supported_pending_human</x:v>
      </x:c>
      <x:c r="P238" s="15" t="str">
        <x:v>stratified_human_confirmation</x:v>
      </x:c>
      <x:c r="Q238" s="15" t="str">
        <x:v>The tour guide showed the visitors the oldest part of the city.</x:v>
      </x:c>
      <x:c r="R238" s="15" t="str">
        <x:v>The tour guide showed the visitors the oldest part of the city.</x:v>
      </x:c>
      <x:c r="S238" s="15" t="str">
        <x:v>none</x:v>
      </x:c>
      <x:c r="T238" s="15" t="str">
        <x:v>source_contract_preserved_subject_to_T08</x:v>
      </x:c>
      <x:c r="U238" s="15" t="str">
        <x:v>A_linguistic_conserve_candidate</x:v>
      </x:c>
      <x:c r="V238" s="16" t="str">
        <x:v>not_started</x:v>
      </x:c>
      <x:c r="W238" s="16"/>
      <x:c r="X238" s="16"/>
      <x:c r="Y238" s="16"/>
      <x:c r="Z238" s="16"/>
      <x:c r="AA238" s="16"/>
      <x:c r="AB238" s="16"/>
      <x:c r="AC238" s="16"/>
      <x:c r="AD238" s="16"/>
      <x:c r="AE238" s="16"/>
      <x:c r="AF238" s="16"/>
      <x:c r="AG238" s="16"/>
      <x:c r="AH238" s="16"/>
      <x:c r="AI238" s="16"/>
      <x:c r="AJ238" s="16"/>
      <x:c r="AK238" s="16"/>
      <x:c r="AL238" s="16"/>
      <x:c r="AM238" s="16"/>
      <x:c r="AN238" s="16"/>
      <x:c r="AO238" s="16"/>
      <x:c r="AP238" s="16"/>
      <x:c r="AQ238" s="16"/>
      <x:c r="AR238" s="16"/>
      <x:c r="AS238" s="16"/>
      <x:c r="AT238" s="20"/>
      <x:c r="AU238" s="16"/>
      <x:c r="AV238" s="16"/>
      <x:c r="AW238" s="16" t="str">
        <x:v>pending</x:v>
      </x:c>
      <x:c r="AX238" s="17" t="str">
        <x:v>blocked_not_validated</x:v>
      </x:c>
      <x:c r="AY238" s="18" t="str">
        <x:f>IF(OR(C238="yes",X238="corrected",COUNTIF(Z238:AL238,"major")&gt;0,COUNTIF(Z238:AL238,"blocker")&gt;0,OR(AO238="repair",AO238="segment",AO238="replace",AO238="block")),"yes","no")</x:f>
        <x:v>no</x:v>
      </x:c>
      <x:c r="AZ238" s="18" t="str">
        <x:f>IF(AND(V238="reviewed",W238&gt;=1,X238&lt;&gt;"",Y238&lt;&gt;"",COUNTA(Z238:AL238)=13,AM238&lt;&gt;"",AN238&lt;&gt;"",AO238&lt;&gt;"",AP238&lt;&gt;"",AQ238&lt;&gt;"",AR238&lt;&gt;"",AS238="I_listened_at_1x_and_completed_all_required_fields",AT238&lt;&gt;"",AW238="adjudicated",OR(AY238="no",AND(AU238&lt;&gt;"",AV238&lt;&gt;""))),"complete","incomplete")</x:f>
        <x:v>incomplete</x:v>
      </x:c>
      <x:c r="BA238" s="18" t="str">
        <x:f>IF(AZ238="complete","none","faltan campos humanos, adjudicación o segunda revisión")</x:f>
        <x:v>faltan campos humanos, adjudicación o segunda revisión</x:v>
      </x:c>
    </x:row>
    <x:row r="239" ht="36" customHeight="1">
      <x:c r="A239" s="15" t="n">
        <x:v>238</x:v>
      </x:c>
      <x:c r="B239" s="15" t="str">
        <x:v>P3-SAMPLE</x:v>
      </x:c>
      <x:c r="C239" s="15" t="str">
        <x:v>no</x:v>
      </x:c>
      <x:c r="D239" s="15" t="str">
        <x:v>asset:toefl:set-13:part-12:repeat-4</x:v>
      </x:c>
      <x:c r="E239" s="15" t="str">
        <x:v>set-13</x:v>
      </x:c>
      <x:c r="F239" s="15" t="str">
        <x:v>Listen and Repeat</x:v>
      </x:c>
      <x:c r="G239" s="15" t="str">
        <x:v>/Users/josedavidduartesilva/Developer/idiomaswl/public/audio/toefl/set-13/repeat-4.mp3</x:v>
      </x:c>
      <x:c r="H239" s="19" t="n">
        <x:v>4.58</x:v>
      </x:c>
      <x:c r="I239" s="15" t="str">
        <x:v>P3</x:v>
      </x:c>
      <x:c r="J239" s="15" t="str">
        <x:v>stratified_sample_T08</x:v>
      </x:c>
      <x:c r="K239" s="15" t="str">
        <x:v>pass_automated_T06</x:v>
      </x:c>
      <x:c r="L239" s="15" t="str">
        <x:v>none</x:v>
      </x:c>
      <x:c r="M239" s="15" t="str">
        <x:v>none</x:v>
      </x:c>
      <x:c r="N239" s="15" t="str">
        <x:v>conserve_source_technical_candidate</x:v>
      </x:c>
      <x:c r="O239" s="15" t="str">
        <x:v>source_exact_normalized_supported_pending_human</x:v>
      </x:c>
      <x:c r="P239" s="15" t="str">
        <x:v>stratified_human_confirmation</x:v>
      </x:c>
      <x:c r="Q239" s="15" t="str">
        <x:v>The report suggested that the company should invest more in staff training.</x:v>
      </x:c>
      <x:c r="R239" s="15" t="str">
        <x:v>The report suggested that the company should invest more in staff training.</x:v>
      </x:c>
      <x:c r="S239" s="15" t="str">
        <x:v>none</x:v>
      </x:c>
      <x:c r="T239" s="15" t="str">
        <x:v>source_contract_preserved_subject_to_T08</x:v>
      </x:c>
      <x:c r="U239" s="15" t="str">
        <x:v>A_linguistic_conserve_candidate</x:v>
      </x:c>
      <x:c r="V239" s="16" t="str">
        <x:v>not_started</x:v>
      </x:c>
      <x:c r="W239" s="16"/>
      <x:c r="X239" s="16"/>
      <x:c r="Y239" s="16"/>
      <x:c r="Z239" s="16"/>
      <x:c r="AA239" s="16"/>
      <x:c r="AB239" s="16"/>
      <x:c r="AC239" s="16"/>
      <x:c r="AD239" s="16"/>
      <x:c r="AE239" s="16"/>
      <x:c r="AF239" s="16"/>
      <x:c r="AG239" s="16"/>
      <x:c r="AH239" s="16"/>
      <x:c r="AI239" s="16"/>
      <x:c r="AJ239" s="16"/>
      <x:c r="AK239" s="16"/>
      <x:c r="AL239" s="16"/>
      <x:c r="AM239" s="16"/>
      <x:c r="AN239" s="16"/>
      <x:c r="AO239" s="16"/>
      <x:c r="AP239" s="16"/>
      <x:c r="AQ239" s="16"/>
      <x:c r="AR239" s="16"/>
      <x:c r="AS239" s="16"/>
      <x:c r="AT239" s="20"/>
      <x:c r="AU239" s="16"/>
      <x:c r="AV239" s="16"/>
      <x:c r="AW239" s="16" t="str">
        <x:v>pending</x:v>
      </x:c>
      <x:c r="AX239" s="17" t="str">
        <x:v>blocked_not_validated</x:v>
      </x:c>
      <x:c r="AY239" s="18" t="str">
        <x:f>IF(OR(C239="yes",X239="corrected",COUNTIF(Z239:AL239,"major")&gt;0,COUNTIF(Z239:AL239,"blocker")&gt;0,OR(AO239="repair",AO239="segment",AO239="replace",AO239="block")),"yes","no")</x:f>
        <x:v>no</x:v>
      </x:c>
      <x:c r="AZ239" s="18" t="str">
        <x:f>IF(AND(V239="reviewed",W239&gt;=1,X239&lt;&gt;"",Y239&lt;&gt;"",COUNTA(Z239:AL239)=13,AM239&lt;&gt;"",AN239&lt;&gt;"",AO239&lt;&gt;"",AP239&lt;&gt;"",AQ239&lt;&gt;"",AR239&lt;&gt;"",AS239="I_listened_at_1x_and_completed_all_required_fields",AT239&lt;&gt;"",AW239="adjudicated",OR(AY239="no",AND(AU239&lt;&gt;"",AV239&lt;&gt;""))),"complete","incomplete")</x:f>
        <x:v>incomplete</x:v>
      </x:c>
      <x:c r="BA239" s="18" t="str">
        <x:f>IF(AZ239="complete","none","faltan campos humanos, adjudicación o segunda revisión")</x:f>
        <x:v>faltan campos humanos, adjudicación o segunda revisión</x:v>
      </x:c>
    </x:row>
    <x:row r="240" ht="36" customHeight="1">
      <x:c r="A240" s="15" t="n">
        <x:v>239</x:v>
      </x:c>
      <x:c r="B240" s="15" t="str">
        <x:v>P3-SAMPLE</x:v>
      </x:c>
      <x:c r="C240" s="15" t="str">
        <x:v>no</x:v>
      </x:c>
      <x:c r="D240" s="15" t="str">
        <x:v>asset:toefl:set-13:part-12:repeat-5</x:v>
      </x:c>
      <x:c r="E240" s="15" t="str">
        <x:v>set-13</x:v>
      </x:c>
      <x:c r="F240" s="15" t="str">
        <x:v>Listen and Repeat</x:v>
      </x:c>
      <x:c r="G240" s="15" t="str">
        <x:v>/Users/josedavidduartesilva/Developer/idiomaswl/public/audio/toefl/set-13/repeat-5.mp3</x:v>
      </x:c>
      <x:c r="H240" s="19" t="n">
        <x:v>5.62</x:v>
      </x:c>
      <x:c r="I240" s="15" t="str">
        <x:v>P3</x:v>
      </x:c>
      <x:c r="J240" s="15" t="str">
        <x:v>stratified_sample_T08</x:v>
      </x:c>
      <x:c r="K240" s="15" t="str">
        <x:v>pass_with_actionable_warning</x:v>
      </x:c>
      <x:c r="L240" s="15" t="str">
        <x:v>none</x:v>
      </x:c>
      <x:c r="M240" s="15" t="str">
        <x:v>TECH-LDN-003</x:v>
      </x:c>
      <x:c r="N240" s="15" t="str">
        <x:v>review_warning_in_T08_before_conserve</x:v>
      </x:c>
      <x:c r="O240" s="15" t="str">
        <x:v>source_exact_normalized_supported_pending_human</x:v>
      </x:c>
      <x:c r="P240" s="15" t="str">
        <x:v>stratified_human_confirmation</x:v>
      </x:c>
      <x:c r="Q240" s="15" t="str">
        <x:v>When the power went out during the storm, the students continued their experiment by candlelight.</x:v>
      </x:c>
      <x:c r="R240" s="15" t="str">
        <x:v>When the power went out during the storm, the students continued their experiment by candlelight.</x:v>
      </x:c>
      <x:c r="S240" s="15" t="str">
        <x:v>none</x:v>
      </x:c>
      <x:c r="T240" s="15" t="str">
        <x:v>source_contract_preserved_subject_to_T08</x:v>
      </x:c>
      <x:c r="U240" s="15" t="str">
        <x:v>A_linguistic_conserve_candidate</x:v>
      </x:c>
      <x:c r="V240" s="16" t="str">
        <x:v>not_started</x:v>
      </x:c>
      <x:c r="W240" s="16"/>
      <x:c r="X240" s="16"/>
      <x:c r="Y240" s="16"/>
      <x:c r="Z240" s="16"/>
      <x:c r="AA240" s="16"/>
      <x:c r="AB240" s="16"/>
      <x:c r="AC240" s="16"/>
      <x:c r="AD240" s="16"/>
      <x:c r="AE240" s="16"/>
      <x:c r="AF240" s="16"/>
      <x:c r="AG240" s="16"/>
      <x:c r="AH240" s="16"/>
      <x:c r="AI240" s="16"/>
      <x:c r="AJ240" s="16"/>
      <x:c r="AK240" s="16"/>
      <x:c r="AL240" s="16"/>
      <x:c r="AM240" s="16"/>
      <x:c r="AN240" s="16"/>
      <x:c r="AO240" s="16"/>
      <x:c r="AP240" s="16"/>
      <x:c r="AQ240" s="16"/>
      <x:c r="AR240" s="16"/>
      <x:c r="AS240" s="16"/>
      <x:c r="AT240" s="20"/>
      <x:c r="AU240" s="16"/>
      <x:c r="AV240" s="16"/>
      <x:c r="AW240" s="16" t="str">
        <x:v>pending</x:v>
      </x:c>
      <x:c r="AX240" s="17" t="str">
        <x:v>blocked_not_validated</x:v>
      </x:c>
      <x:c r="AY240" s="18" t="str">
        <x:f>IF(OR(C240="yes",X240="corrected",COUNTIF(Z240:AL240,"major")&gt;0,COUNTIF(Z240:AL240,"blocker")&gt;0,OR(AO240="repair",AO240="segment",AO240="replace",AO240="block")),"yes","no")</x:f>
        <x:v>no</x:v>
      </x:c>
      <x:c r="AZ240" s="18" t="str">
        <x:f>IF(AND(V240="reviewed",W240&gt;=1,X240&lt;&gt;"",Y240&lt;&gt;"",COUNTA(Z240:AL240)=13,AM240&lt;&gt;"",AN240&lt;&gt;"",AO240&lt;&gt;"",AP240&lt;&gt;"",AQ240&lt;&gt;"",AR240&lt;&gt;"",AS240="I_listened_at_1x_and_completed_all_required_fields",AT240&lt;&gt;"",AW240="adjudicated",OR(AY240="no",AND(AU240&lt;&gt;"",AV240&lt;&gt;""))),"complete","incomplete")</x:f>
        <x:v>incomplete</x:v>
      </x:c>
      <x:c r="BA240" s="18" t="str">
        <x:f>IF(AZ240="complete","none","faltan campos humanos, adjudicación o segunda revisión")</x:f>
        <x:v>faltan campos humanos, adjudicación o segunda revisión</x:v>
      </x:c>
    </x:row>
    <x:row r="241" ht="36" customHeight="1">
      <x:c r="A241" s="15" t="n">
        <x:v>240</x:v>
      </x:c>
      <x:c r="B241" s="15" t="str">
        <x:v>P3-SAMPLE</x:v>
      </x:c>
      <x:c r="C241" s="15" t="str">
        <x:v>no</x:v>
      </x:c>
      <x:c r="D241" s="15" t="str">
        <x:v>asset:toefl:set-14:part-12:repeat-3</x:v>
      </x:c>
      <x:c r="E241" s="15" t="str">
        <x:v>set-14</x:v>
      </x:c>
      <x:c r="F241" s="15" t="str">
        <x:v>Listen and Repeat</x:v>
      </x:c>
      <x:c r="G241" s="15" t="str">
        <x:v>/Users/josedavidduartesilva/Developer/idiomaswl/public/audio/toefl/set-14/repeat-3.mp3</x:v>
      </x:c>
      <x:c r="H241" s="19" t="n">
        <x:v>3.3</x:v>
      </x:c>
      <x:c r="I241" s="15" t="str">
        <x:v>P3</x:v>
      </x:c>
      <x:c r="J241" s="15" t="str">
        <x:v>stratified_sample_T08</x:v>
      </x:c>
      <x:c r="K241" s="15" t="str">
        <x:v>pass_automated_T06</x:v>
      </x:c>
      <x:c r="L241" s="15" t="str">
        <x:v>none</x:v>
      </x:c>
      <x:c r="M241" s="15" t="str">
        <x:v>none</x:v>
      </x:c>
      <x:c r="N241" s="15" t="str">
        <x:v>conserve_source_technical_candidate</x:v>
      </x:c>
      <x:c r="O241" s="15" t="str">
        <x:v>source_exact_normalized_supported_pending_human</x:v>
      </x:c>
      <x:c r="P241" s="15" t="str">
        <x:v>stratified_human_confirmation</x:v>
      </x:c>
      <x:c r="Q241" s="15" t="str">
        <x:v>The chef prepared a special meal for the guests.</x:v>
      </x:c>
      <x:c r="R241" s="15" t="str">
        <x:v>The chef prepared a special meal for the guests.</x:v>
      </x:c>
      <x:c r="S241" s="15" t="str">
        <x:v>none</x:v>
      </x:c>
      <x:c r="T241" s="15" t="str">
        <x:v>source_contract_preserved_subject_to_T08</x:v>
      </x:c>
      <x:c r="U241" s="15" t="str">
        <x:v>A_linguistic_conserve_candidate</x:v>
      </x:c>
      <x:c r="V241" s="16" t="str">
        <x:v>not_started</x:v>
      </x:c>
      <x:c r="W241" s="16"/>
      <x:c r="X241" s="16"/>
      <x:c r="Y241" s="16"/>
      <x:c r="Z241" s="16"/>
      <x:c r="AA241" s="16"/>
      <x:c r="AB241" s="16"/>
      <x:c r="AC241" s="16"/>
      <x:c r="AD241" s="16"/>
      <x:c r="AE241" s="16"/>
      <x:c r="AF241" s="16"/>
      <x:c r="AG241" s="16"/>
      <x:c r="AH241" s="16"/>
      <x:c r="AI241" s="16"/>
      <x:c r="AJ241" s="16"/>
      <x:c r="AK241" s="16"/>
      <x:c r="AL241" s="16"/>
      <x:c r="AM241" s="16"/>
      <x:c r="AN241" s="16"/>
      <x:c r="AO241" s="16"/>
      <x:c r="AP241" s="16"/>
      <x:c r="AQ241" s="16"/>
      <x:c r="AR241" s="16"/>
      <x:c r="AS241" s="16"/>
      <x:c r="AT241" s="20"/>
      <x:c r="AU241" s="16"/>
      <x:c r="AV241" s="16"/>
      <x:c r="AW241" s="16" t="str">
        <x:v>pending</x:v>
      </x:c>
      <x:c r="AX241" s="17" t="str">
        <x:v>blocked_not_validated</x:v>
      </x:c>
      <x:c r="AY241" s="18" t="str">
        <x:f>IF(OR(C241="yes",X241="corrected",COUNTIF(Z241:AL241,"major")&gt;0,COUNTIF(Z241:AL241,"blocker")&gt;0,OR(AO241="repair",AO241="segment",AO241="replace",AO241="block")),"yes","no")</x:f>
        <x:v>no</x:v>
      </x:c>
      <x:c r="AZ241" s="18" t="str">
        <x:f>IF(AND(V241="reviewed",W241&gt;=1,X241&lt;&gt;"",Y241&lt;&gt;"",COUNTA(Z241:AL241)=13,AM241&lt;&gt;"",AN241&lt;&gt;"",AO241&lt;&gt;"",AP241&lt;&gt;"",AQ241&lt;&gt;"",AR241&lt;&gt;"",AS241="I_listened_at_1x_and_completed_all_required_fields",AT241&lt;&gt;"",AW241="adjudicated",OR(AY241="no",AND(AU241&lt;&gt;"",AV241&lt;&gt;""))),"complete","incomplete")</x:f>
        <x:v>incomplete</x:v>
      </x:c>
      <x:c r="BA241" s="18" t="str">
        <x:f>IF(AZ241="complete","none","faltan campos humanos, adjudicación o segunda revisión")</x:f>
        <x:v>faltan campos humanos, adjudicación o segunda revisión</x:v>
      </x:c>
    </x:row>
    <x:row r="242" ht="36" customHeight="1">
      <x:c r="A242" s="15" t="n">
        <x:v>241</x:v>
      </x:c>
      <x:c r="B242" s="15" t="str">
        <x:v>P3-SAMPLE</x:v>
      </x:c>
      <x:c r="C242" s="15" t="str">
        <x:v>no</x:v>
      </x:c>
      <x:c r="D242" s="15" t="str">
        <x:v>asset:toefl:set-14:part-12:repeat-4</x:v>
      </x:c>
      <x:c r="E242" s="15" t="str">
        <x:v>set-14</x:v>
      </x:c>
      <x:c r="F242" s="15" t="str">
        <x:v>Listen and Repeat</x:v>
      </x:c>
      <x:c r="G242" s="15" t="str">
        <x:v>/Users/josedavidduartesilva/Developer/idiomaswl/public/audio/toefl/set-14/repeat-4.mp3</x:v>
      </x:c>
      <x:c r="H242" s="19" t="n">
        <x:v>4.26</x:v>
      </x:c>
      <x:c r="I242" s="15" t="str">
        <x:v>P3</x:v>
      </x:c>
      <x:c r="J242" s="15" t="str">
        <x:v>stratified_sample_T08</x:v>
      </x:c>
      <x:c r="K242" s="15" t="str">
        <x:v>pass_automated_T06</x:v>
      </x:c>
      <x:c r="L242" s="15" t="str">
        <x:v>none</x:v>
      </x:c>
      <x:c r="M242" s="15" t="str">
        <x:v>none</x:v>
      </x:c>
      <x:c r="N242" s="15" t="str">
        <x:v>conserve_source_technical_candidate</x:v>
      </x:c>
      <x:c r="O242" s="15" t="str">
        <x:v>source_exact_normalized_supported_pending_human</x:v>
      </x:c>
      <x:c r="P242" s="15" t="str">
        <x:v>stratified_human_confirmation</x:v>
      </x:c>
      <x:c r="Q242" s="15" t="str">
        <x:v>The survey found that most residents supported the new recycling program.</x:v>
      </x:c>
      <x:c r="R242" s="15" t="str">
        <x:v>The survey found that most residents supported the new recycling program.</x:v>
      </x:c>
      <x:c r="S242" s="15" t="str">
        <x:v>none</x:v>
      </x:c>
      <x:c r="T242" s="15" t="str">
        <x:v>source_contract_preserved_subject_to_T08</x:v>
      </x:c>
      <x:c r="U242" s="15" t="str">
        <x:v>A_linguistic_conserve_candidate</x:v>
      </x:c>
      <x:c r="V242" s="16" t="str">
        <x:v>not_started</x:v>
      </x:c>
      <x:c r="W242" s="16"/>
      <x:c r="X242" s="16"/>
      <x:c r="Y242" s="16"/>
      <x:c r="Z242" s="16"/>
      <x:c r="AA242" s="16"/>
      <x:c r="AB242" s="16"/>
      <x:c r="AC242" s="16"/>
      <x:c r="AD242" s="16"/>
      <x:c r="AE242" s="16"/>
      <x:c r="AF242" s="16"/>
      <x:c r="AG242" s="16"/>
      <x:c r="AH242" s="16"/>
      <x:c r="AI242" s="16"/>
      <x:c r="AJ242" s="16"/>
      <x:c r="AK242" s="16"/>
      <x:c r="AL242" s="16"/>
      <x:c r="AM242" s="16"/>
      <x:c r="AN242" s="16"/>
      <x:c r="AO242" s="16"/>
      <x:c r="AP242" s="16"/>
      <x:c r="AQ242" s="16"/>
      <x:c r="AR242" s="16"/>
      <x:c r="AS242" s="16"/>
      <x:c r="AT242" s="20"/>
      <x:c r="AU242" s="16"/>
      <x:c r="AV242" s="16"/>
      <x:c r="AW242" s="16" t="str">
        <x:v>pending</x:v>
      </x:c>
      <x:c r="AX242" s="17" t="str">
        <x:v>blocked_not_validated</x:v>
      </x:c>
      <x:c r="AY242" s="18" t="str">
        <x:f>IF(OR(C242="yes",X242="corrected",COUNTIF(Z242:AL242,"major")&gt;0,COUNTIF(Z242:AL242,"blocker")&gt;0,OR(AO242="repair",AO242="segment",AO242="replace",AO242="block")),"yes","no")</x:f>
        <x:v>no</x:v>
      </x:c>
      <x:c r="AZ242" s="18" t="str">
        <x:f>IF(AND(V242="reviewed",W242&gt;=1,X242&lt;&gt;"",Y242&lt;&gt;"",COUNTA(Z242:AL242)=13,AM242&lt;&gt;"",AN242&lt;&gt;"",AO242&lt;&gt;"",AP242&lt;&gt;"",AQ242&lt;&gt;"",AR242&lt;&gt;"",AS242="I_listened_at_1x_and_completed_all_required_fields",AT242&lt;&gt;"",AW242="adjudicated",OR(AY242="no",AND(AU242&lt;&gt;"",AV242&lt;&gt;""))),"complete","incomplete")</x:f>
        <x:v>incomplete</x:v>
      </x:c>
      <x:c r="BA242" s="18" t="str">
        <x:f>IF(AZ242="complete","none","faltan campos humanos, adjudicación o segunda revisión")</x:f>
        <x:v>faltan campos humanos, adjudicación o segunda revisión</x:v>
      </x:c>
    </x:row>
    <x:row r="243" ht="36" customHeight="1">
      <x:c r="A243" s="15" t="n">
        <x:v>242</x:v>
      </x:c>
      <x:c r="B243" s="15" t="str">
        <x:v>P3-SAMPLE</x:v>
      </x:c>
      <x:c r="C243" s="15" t="str">
        <x:v>no</x:v>
      </x:c>
      <x:c r="D243" s="15" t="str">
        <x:v>asset:toefl:set-14:part-12:repeat-5</x:v>
      </x:c>
      <x:c r="E243" s="15" t="str">
        <x:v>set-14</x:v>
      </x:c>
      <x:c r="F243" s="15" t="str">
        <x:v>Listen and Repeat</x:v>
      </x:c>
      <x:c r="G243" s="15" t="str">
        <x:v>/Users/josedavidduartesilva/Developer/idiomaswl/public/audio/toefl/set-14/repeat-5.mp3</x:v>
      </x:c>
      <x:c r="H243" s="19" t="n">
        <x:v>6.1</x:v>
      </x:c>
      <x:c r="I243" s="15" t="str">
        <x:v>P3</x:v>
      </x:c>
      <x:c r="J243" s="15" t="str">
        <x:v>stratified_sample_T08</x:v>
      </x:c>
      <x:c r="K243" s="15" t="str">
        <x:v>pass_with_actionable_warning</x:v>
      </x:c>
      <x:c r="L243" s="15" t="str">
        <x:v>none</x:v>
      </x:c>
      <x:c r="M243" s="15" t="str">
        <x:v>TECH-PEAK-003</x:v>
      </x:c>
      <x:c r="N243" s="15" t="str">
        <x:v>review_warning_in_T08_before_conserve</x:v>
      </x:c>
      <x:c r="O243" s="15" t="str">
        <x:v>source_exact_normalized_supported_pending_human</x:v>
      </x:c>
      <x:c r="P243" s="15" t="str">
        <x:v>stratified_human_confirmation</x:v>
      </x:c>
      <x:c r="Q243" s="15" t="str">
        <x:v>After the volunteers had planted the trees, they watered them and marked each one with a small sign.</x:v>
      </x:c>
      <x:c r="R243" s="15" t="str">
        <x:v>After the volunteers had planted the trees, they watered them and marked each one with a small sign.</x:v>
      </x:c>
      <x:c r="S243" s="15" t="str">
        <x:v>none</x:v>
      </x:c>
      <x:c r="T243" s="15" t="str">
        <x:v>source_contract_preserved_subject_to_T08</x:v>
      </x:c>
      <x:c r="U243" s="15" t="str">
        <x:v>A_linguistic_conserve_candidate</x:v>
      </x:c>
      <x:c r="V243" s="16" t="str">
        <x:v>not_started</x:v>
      </x:c>
      <x:c r="W243" s="16"/>
      <x:c r="X243" s="16"/>
      <x:c r="Y243" s="16"/>
      <x:c r="Z243" s="16"/>
      <x:c r="AA243" s="16"/>
      <x:c r="AB243" s="16"/>
      <x:c r="AC243" s="16"/>
      <x:c r="AD243" s="16"/>
      <x:c r="AE243" s="16"/>
      <x:c r="AF243" s="16"/>
      <x:c r="AG243" s="16"/>
      <x:c r="AH243" s="16"/>
      <x:c r="AI243" s="16"/>
      <x:c r="AJ243" s="16"/>
      <x:c r="AK243" s="16"/>
      <x:c r="AL243" s="16"/>
      <x:c r="AM243" s="16"/>
      <x:c r="AN243" s="16"/>
      <x:c r="AO243" s="16"/>
      <x:c r="AP243" s="16"/>
      <x:c r="AQ243" s="16"/>
      <x:c r="AR243" s="16"/>
      <x:c r="AS243" s="16"/>
      <x:c r="AT243" s="20"/>
      <x:c r="AU243" s="16"/>
      <x:c r="AV243" s="16"/>
      <x:c r="AW243" s="16" t="str">
        <x:v>pending</x:v>
      </x:c>
      <x:c r="AX243" s="17" t="str">
        <x:v>blocked_not_validated</x:v>
      </x:c>
      <x:c r="AY243" s="18" t="str">
        <x:f>IF(OR(C243="yes",X243="corrected",COUNTIF(Z243:AL243,"major")&gt;0,COUNTIF(Z243:AL243,"blocker")&gt;0,OR(AO243="repair",AO243="segment",AO243="replace",AO243="block")),"yes","no")</x:f>
        <x:v>no</x:v>
      </x:c>
      <x:c r="AZ243" s="18" t="str">
        <x:f>IF(AND(V243="reviewed",W243&gt;=1,X243&lt;&gt;"",Y243&lt;&gt;"",COUNTA(Z243:AL243)=13,AM243&lt;&gt;"",AN243&lt;&gt;"",AO243&lt;&gt;"",AP243&lt;&gt;"",AQ243&lt;&gt;"",AR243&lt;&gt;"",AS243="I_listened_at_1x_and_completed_all_required_fields",AT243&lt;&gt;"",AW243="adjudicated",OR(AY243="no",AND(AU243&lt;&gt;"",AV243&lt;&gt;""))),"complete","incomplete")</x:f>
        <x:v>incomplete</x:v>
      </x:c>
      <x:c r="BA243" s="18" t="str">
        <x:f>IF(AZ243="complete","none","faltan campos humanos, adjudicación o segunda revisión")</x:f>
        <x:v>faltan campos humanos, adjudicación o segunda revisión</x:v>
      </x:c>
    </x:row>
    <x:row r="244" ht="36" customHeight="1">
      <x:c r="A244" s="15" t="n">
        <x:v>243</x:v>
      </x:c>
      <x:c r="B244" s="15" t="str">
        <x:v>P3-SAMPLE</x:v>
      </x:c>
      <x:c r="C244" s="15" t="str">
        <x:v>no</x:v>
      </x:c>
      <x:c r="D244" s="15" t="str">
        <x:v>asset:toefl:set-15:part-12:repeat-2</x:v>
      </x:c>
      <x:c r="E244" s="15" t="str">
        <x:v>set-15</x:v>
      </x:c>
      <x:c r="F244" s="15" t="str">
        <x:v>Listen and Repeat</x:v>
      </x:c>
      <x:c r="G244" s="15" t="str">
        <x:v>/Users/josedavidduartesilva/Developer/idiomaswl/public/audio/toefl/set-15/repeat-2.mp3</x:v>
      </x:c>
      <x:c r="H244" s="19" t="n">
        <x:v>3.14</x:v>
      </x:c>
      <x:c r="I244" s="15" t="str">
        <x:v>P3</x:v>
      </x:c>
      <x:c r="J244" s="15" t="str">
        <x:v>stratified_sample_T08</x:v>
      </x:c>
      <x:c r="K244" s="15" t="str">
        <x:v>pass_with_actionable_warning</x:v>
      </x:c>
      <x:c r="L244" s="15" t="str">
        <x:v>none</x:v>
      </x:c>
      <x:c r="M244" s="15" t="str">
        <x:v>TECH-PEAK-003</x:v>
      </x:c>
      <x:c r="N244" s="15" t="str">
        <x:v>review_warning_in_T08_before_conserve</x:v>
      </x:c>
      <x:c r="O244" s="15" t="str">
        <x:v>source_exact_normalized_supported_pending_human</x:v>
      </x:c>
      <x:c r="P244" s="15" t="str">
        <x:v>stratified_human_confirmation</x:v>
      </x:c>
      <x:c r="Q244" s="15" t="str">
        <x:v>They cleaned the kitchen before the guests arrived.</x:v>
      </x:c>
      <x:c r="R244" s="15" t="str">
        <x:v>They cleaned the kitchen before the guests arrived.</x:v>
      </x:c>
      <x:c r="S244" s="15" t="str">
        <x:v>none</x:v>
      </x:c>
      <x:c r="T244" s="15" t="str">
        <x:v>source_contract_preserved_subject_to_T08</x:v>
      </x:c>
      <x:c r="U244" s="15" t="str">
        <x:v>A_linguistic_conserve_candidate</x:v>
      </x:c>
      <x:c r="V244" s="16" t="str">
        <x:v>not_started</x:v>
      </x:c>
      <x:c r="W244" s="16"/>
      <x:c r="X244" s="16"/>
      <x:c r="Y244" s="16"/>
      <x:c r="Z244" s="16"/>
      <x:c r="AA244" s="16"/>
      <x:c r="AB244" s="16"/>
      <x:c r="AC244" s="16"/>
      <x:c r="AD244" s="16"/>
      <x:c r="AE244" s="16"/>
      <x:c r="AF244" s="16"/>
      <x:c r="AG244" s="16"/>
      <x:c r="AH244" s="16"/>
      <x:c r="AI244" s="16"/>
      <x:c r="AJ244" s="16"/>
      <x:c r="AK244" s="16"/>
      <x:c r="AL244" s="16"/>
      <x:c r="AM244" s="16"/>
      <x:c r="AN244" s="16"/>
      <x:c r="AO244" s="16"/>
      <x:c r="AP244" s="16"/>
      <x:c r="AQ244" s="16"/>
      <x:c r="AR244" s="16"/>
      <x:c r="AS244" s="16"/>
      <x:c r="AT244" s="20"/>
      <x:c r="AU244" s="16"/>
      <x:c r="AV244" s="16"/>
      <x:c r="AW244" s="16" t="str">
        <x:v>pending</x:v>
      </x:c>
      <x:c r="AX244" s="17" t="str">
        <x:v>blocked_not_validated</x:v>
      </x:c>
      <x:c r="AY244" s="18" t="str">
        <x:f>IF(OR(C244="yes",X244="corrected",COUNTIF(Z244:AL244,"major")&gt;0,COUNTIF(Z244:AL244,"blocker")&gt;0,OR(AO244="repair",AO244="segment",AO244="replace",AO244="block")),"yes","no")</x:f>
        <x:v>no</x:v>
      </x:c>
      <x:c r="AZ244" s="18" t="str">
        <x:f>IF(AND(V244="reviewed",W244&gt;=1,X244&lt;&gt;"",Y244&lt;&gt;"",COUNTA(Z244:AL244)=13,AM244&lt;&gt;"",AN244&lt;&gt;"",AO244&lt;&gt;"",AP244&lt;&gt;"",AQ244&lt;&gt;"",AR244&lt;&gt;"",AS244="I_listened_at_1x_and_completed_all_required_fields",AT244&lt;&gt;"",AW244="adjudicated",OR(AY244="no",AND(AU244&lt;&gt;"",AV244&lt;&gt;""))),"complete","incomplete")</x:f>
        <x:v>incomplete</x:v>
      </x:c>
      <x:c r="BA244" s="18" t="str">
        <x:f>IF(AZ244="complete","none","faltan campos humanos, adjudicación o segunda revisión")</x:f>
        <x:v>faltan campos humanos, adjudicación o segunda revisión</x:v>
      </x:c>
    </x:row>
    <x:row r="245" ht="36" customHeight="1">
      <x:c r="A245" s="15" t="n">
        <x:v>244</x:v>
      </x:c>
      <x:c r="B245" s="15" t="str">
        <x:v>P3-SAMPLE</x:v>
      </x:c>
      <x:c r="C245" s="15" t="str">
        <x:v>no</x:v>
      </x:c>
      <x:c r="D245" s="15" t="str">
        <x:v>asset:toefl:set-16:part-12:repeat-2</x:v>
      </x:c>
      <x:c r="E245" s="15" t="str">
        <x:v>set-16</x:v>
      </x:c>
      <x:c r="F245" s="15" t="str">
        <x:v>Listen and Repeat</x:v>
      </x:c>
      <x:c r="G245" s="15" t="str">
        <x:v>/Users/josedavidduartesilva/Developer/idiomaswl/public/audio/toefl/set-16/repeat-2.mp3</x:v>
      </x:c>
      <x:c r="H245" s="19" t="n">
        <x:v>2.82</x:v>
      </x:c>
      <x:c r="I245" s="15" t="str">
        <x:v>P3</x:v>
      </x:c>
      <x:c r="J245" s="15" t="str">
        <x:v>stratified_sample_T08</x:v>
      </x:c>
      <x:c r="K245" s="15" t="str">
        <x:v>pass_with_actionable_warning</x:v>
      </x:c>
      <x:c r="L245" s="15" t="str">
        <x:v>none</x:v>
      </x:c>
      <x:c r="M245" s="15" t="str">
        <x:v>TECH-LDN-003</x:v>
      </x:c>
      <x:c r="N245" s="15" t="str">
        <x:v>review_warning_in_T08_before_conserve</x:v>
      </x:c>
      <x:c r="O245" s="15" t="str">
        <x:v>source_exact_normalized_supported_pending_human</x:v>
      </x:c>
      <x:c r="P245" s="15" t="str">
        <x:v>stratified_human_confirmation</x:v>
      </x:c>
      <x:c r="Q245" s="15" t="str">
        <x:v>He borrowed a book and read it in one evening.</x:v>
      </x:c>
      <x:c r="R245" s="15" t="str">
        <x:v>He borrowed a book and read it in one evening.</x:v>
      </x:c>
      <x:c r="S245" s="15" t="str">
        <x:v>none</x:v>
      </x:c>
      <x:c r="T245" s="15" t="str">
        <x:v>source_contract_preserved_subject_to_T08</x:v>
      </x:c>
      <x:c r="U245" s="15" t="str">
        <x:v>A_linguistic_conserve_candidate</x:v>
      </x:c>
      <x:c r="V245" s="16" t="str">
        <x:v>not_started</x:v>
      </x:c>
      <x:c r="W245" s="16"/>
      <x:c r="X245" s="16"/>
      <x:c r="Y245" s="16"/>
      <x:c r="Z245" s="16"/>
      <x:c r="AA245" s="16"/>
      <x:c r="AB245" s="16"/>
      <x:c r="AC245" s="16"/>
      <x:c r="AD245" s="16"/>
      <x:c r="AE245" s="16"/>
      <x:c r="AF245" s="16"/>
      <x:c r="AG245" s="16"/>
      <x:c r="AH245" s="16"/>
      <x:c r="AI245" s="16"/>
      <x:c r="AJ245" s="16"/>
      <x:c r="AK245" s="16"/>
      <x:c r="AL245" s="16"/>
      <x:c r="AM245" s="16"/>
      <x:c r="AN245" s="16"/>
      <x:c r="AO245" s="16"/>
      <x:c r="AP245" s="16"/>
      <x:c r="AQ245" s="16"/>
      <x:c r="AR245" s="16"/>
      <x:c r="AS245" s="16"/>
      <x:c r="AT245" s="20"/>
      <x:c r="AU245" s="16"/>
      <x:c r="AV245" s="16"/>
      <x:c r="AW245" s="16" t="str">
        <x:v>pending</x:v>
      </x:c>
      <x:c r="AX245" s="17" t="str">
        <x:v>blocked_not_validated</x:v>
      </x:c>
      <x:c r="AY245" s="18" t="str">
        <x:f>IF(OR(C245="yes",X245="corrected",COUNTIF(Z245:AL245,"major")&gt;0,COUNTIF(Z245:AL245,"blocker")&gt;0,OR(AO245="repair",AO245="segment",AO245="replace",AO245="block")),"yes","no")</x:f>
        <x:v>no</x:v>
      </x:c>
      <x:c r="AZ245" s="18" t="str">
        <x:f>IF(AND(V245="reviewed",W245&gt;=1,X245&lt;&gt;"",Y245&lt;&gt;"",COUNTA(Z245:AL245)=13,AM245&lt;&gt;"",AN245&lt;&gt;"",AO245&lt;&gt;"",AP245&lt;&gt;"",AQ245&lt;&gt;"",AR245&lt;&gt;"",AS245="I_listened_at_1x_and_completed_all_required_fields",AT245&lt;&gt;"",AW245="adjudicated",OR(AY245="no",AND(AU245&lt;&gt;"",AV245&lt;&gt;""))),"complete","incomplete")</x:f>
        <x:v>incomplete</x:v>
      </x:c>
      <x:c r="BA245" s="18" t="str">
        <x:f>IF(AZ245="complete","none","faltan campos humanos, adjudicación o segunda revisión")</x:f>
        <x:v>faltan campos humanos, adjudicación o segunda revisión</x:v>
      </x:c>
    </x:row>
    <x:row r="246" ht="36" customHeight="1">
      <x:c r="A246" s="15" t="n">
        <x:v>245</x:v>
      </x:c>
      <x:c r="B246" s="15" t="str">
        <x:v>P3-SAMPLE</x:v>
      </x:c>
      <x:c r="C246" s="15" t="str">
        <x:v>no</x:v>
      </x:c>
      <x:c r="D246" s="15" t="str">
        <x:v>asset:toefl:set-16:part-12:repeat-3</x:v>
      </x:c>
      <x:c r="E246" s="15" t="str">
        <x:v>set-16</x:v>
      </x:c>
      <x:c r="F246" s="15" t="str">
        <x:v>Listen and Repeat</x:v>
      </x:c>
      <x:c r="G246" s="15" t="str">
        <x:v>/Users/josedavidduartesilva/Developer/idiomaswl/public/audio/toefl/set-16/repeat-3.mp3</x:v>
      </x:c>
      <x:c r="H246" s="19" t="n">
        <x:v>3.86</x:v>
      </x:c>
      <x:c r="I246" s="15" t="str">
        <x:v>P3</x:v>
      </x:c>
      <x:c r="J246" s="15" t="str">
        <x:v>stratified_sample_T08</x:v>
      </x:c>
      <x:c r="K246" s="15" t="str">
        <x:v>pass_automated_T06</x:v>
      </x:c>
      <x:c r="L246" s="15" t="str">
        <x:v>none</x:v>
      </x:c>
      <x:c r="M246" s="15" t="str">
        <x:v>none</x:v>
      </x:c>
      <x:c r="N246" s="15" t="str">
        <x:v>conserve_source_technical_candidate</x:v>
      </x:c>
      <x:c r="O246" s="15" t="str">
        <x:v>source_exact_normalized_supported_pending_human</x:v>
      </x:c>
      <x:c r="P246" s="15" t="str">
        <x:v>stratified_human_confirmation</x:v>
      </x:c>
      <x:c r="Q246" s="15" t="str">
        <x:v>The company decided to open a new office in the capital.</x:v>
      </x:c>
      <x:c r="R246" s="15" t="str">
        <x:v>The company decided to open a new office in the capital.</x:v>
      </x:c>
      <x:c r="S246" s="15" t="str">
        <x:v>none</x:v>
      </x:c>
      <x:c r="T246" s="15" t="str">
        <x:v>source_contract_preserved_subject_to_T08</x:v>
      </x:c>
      <x:c r="U246" s="15" t="str">
        <x:v>A_linguistic_conserve_candidate</x:v>
      </x:c>
      <x:c r="V246" s="16" t="str">
        <x:v>not_started</x:v>
      </x:c>
      <x:c r="W246" s="16"/>
      <x:c r="X246" s="16"/>
      <x:c r="Y246" s="16"/>
      <x:c r="Z246" s="16"/>
      <x:c r="AA246" s="16"/>
      <x:c r="AB246" s="16"/>
      <x:c r="AC246" s="16"/>
      <x:c r="AD246" s="16"/>
      <x:c r="AE246" s="16"/>
      <x:c r="AF246" s="16"/>
      <x:c r="AG246" s="16"/>
      <x:c r="AH246" s="16"/>
      <x:c r="AI246" s="16"/>
      <x:c r="AJ246" s="16"/>
      <x:c r="AK246" s="16"/>
      <x:c r="AL246" s="16"/>
      <x:c r="AM246" s="16"/>
      <x:c r="AN246" s="16"/>
      <x:c r="AO246" s="16"/>
      <x:c r="AP246" s="16"/>
      <x:c r="AQ246" s="16"/>
      <x:c r="AR246" s="16"/>
      <x:c r="AS246" s="16"/>
      <x:c r="AT246" s="20"/>
      <x:c r="AU246" s="16"/>
      <x:c r="AV246" s="16"/>
      <x:c r="AW246" s="16" t="str">
        <x:v>pending</x:v>
      </x:c>
      <x:c r="AX246" s="17" t="str">
        <x:v>blocked_not_validated</x:v>
      </x:c>
      <x:c r="AY246" s="18" t="str">
        <x:f>IF(OR(C246="yes",X246="corrected",COUNTIF(Z246:AL246,"major")&gt;0,COUNTIF(Z246:AL246,"blocker")&gt;0,OR(AO246="repair",AO246="segment",AO246="replace",AO246="block")),"yes","no")</x:f>
        <x:v>no</x:v>
      </x:c>
      <x:c r="AZ246" s="18" t="str">
        <x:f>IF(AND(V246="reviewed",W246&gt;=1,X246&lt;&gt;"",Y246&lt;&gt;"",COUNTA(Z246:AL246)=13,AM246&lt;&gt;"",AN246&lt;&gt;"",AO246&lt;&gt;"",AP246&lt;&gt;"",AQ246&lt;&gt;"",AR246&lt;&gt;"",AS246="I_listened_at_1x_and_completed_all_required_fields",AT246&lt;&gt;"",AW246="adjudicated",OR(AY246="no",AND(AU246&lt;&gt;"",AV246&lt;&gt;""))),"complete","incomplete")</x:f>
        <x:v>incomplete</x:v>
      </x:c>
      <x:c r="BA246" s="18" t="str">
        <x:f>IF(AZ246="complete","none","faltan campos humanos, adjudicación o segunda revisión")</x:f>
        <x:v>faltan campos humanos, adjudicación o segunda revisión</x:v>
      </x:c>
    </x:row>
    <x:row r="247" ht="36" customHeight="1">
      <x:c r="A247" s="15" t="n">
        <x:v>246</x:v>
      </x:c>
      <x:c r="B247" s="15" t="str">
        <x:v>P3-SAMPLE</x:v>
      </x:c>
      <x:c r="C247" s="15" t="str">
        <x:v>no</x:v>
      </x:c>
      <x:c r="D247" s="15" t="str">
        <x:v>asset:toefl:set-16:part-12:repeat-4</x:v>
      </x:c>
      <x:c r="E247" s="15" t="str">
        <x:v>set-16</x:v>
      </x:c>
      <x:c r="F247" s="15" t="str">
        <x:v>Listen and Repeat</x:v>
      </x:c>
      <x:c r="G247" s="15" t="str">
        <x:v>/Users/josedavidduartesilva/Developer/idiomaswl/public/audio/toefl/set-16/repeat-4.mp3</x:v>
      </x:c>
      <x:c r="H247" s="19" t="n">
        <x:v>4.34</x:v>
      </x:c>
      <x:c r="I247" s="15" t="str">
        <x:v>P3</x:v>
      </x:c>
      <x:c r="J247" s="15" t="str">
        <x:v>stratified_sample_T08</x:v>
      </x:c>
      <x:c r="K247" s="15" t="str">
        <x:v>pass_automated_T06</x:v>
      </x:c>
      <x:c r="L247" s="15" t="str">
        <x:v>none</x:v>
      </x:c>
      <x:c r="M247" s="15" t="str">
        <x:v>none</x:v>
      </x:c>
      <x:c r="N247" s="15" t="str">
        <x:v>conserve_source_technical_candidate</x:v>
      </x:c>
      <x:c r="O247" s="15" t="str">
        <x:v>source_exact_normalized_supported_pending_human</x:v>
      </x:c>
      <x:c r="P247" s="15" t="str">
        <x:v>stratified_human_confirmation</x:v>
      </x:c>
      <x:c r="Q247" s="15" t="str">
        <x:v>The teacher explained that the assignment would be due at the end of the month.</x:v>
      </x:c>
      <x:c r="R247" s="15" t="str">
        <x:v>The teacher explained that the assignment would be due at the end of the month.</x:v>
      </x:c>
      <x:c r="S247" s="15" t="str">
        <x:v>none</x:v>
      </x:c>
      <x:c r="T247" s="15" t="str">
        <x:v>source_contract_preserved_subject_to_T08</x:v>
      </x:c>
      <x:c r="U247" s="15" t="str">
        <x:v>A_linguistic_conserve_candidate</x:v>
      </x:c>
      <x:c r="V247" s="16" t="str">
        <x:v>not_started</x:v>
      </x:c>
      <x:c r="W247" s="16"/>
      <x:c r="X247" s="16"/>
      <x:c r="Y247" s="16"/>
      <x:c r="Z247" s="16"/>
      <x:c r="AA247" s="16"/>
      <x:c r="AB247" s="16"/>
      <x:c r="AC247" s="16"/>
      <x:c r="AD247" s="16"/>
      <x:c r="AE247" s="16"/>
      <x:c r="AF247" s="16"/>
      <x:c r="AG247" s="16"/>
      <x:c r="AH247" s="16"/>
      <x:c r="AI247" s="16"/>
      <x:c r="AJ247" s="16"/>
      <x:c r="AK247" s="16"/>
      <x:c r="AL247" s="16"/>
      <x:c r="AM247" s="16"/>
      <x:c r="AN247" s="16"/>
      <x:c r="AO247" s="16"/>
      <x:c r="AP247" s="16"/>
      <x:c r="AQ247" s="16"/>
      <x:c r="AR247" s="16"/>
      <x:c r="AS247" s="16"/>
      <x:c r="AT247" s="20"/>
      <x:c r="AU247" s="16"/>
      <x:c r="AV247" s="16"/>
      <x:c r="AW247" s="16" t="str">
        <x:v>pending</x:v>
      </x:c>
      <x:c r="AX247" s="17" t="str">
        <x:v>blocked_not_validated</x:v>
      </x:c>
      <x:c r="AY247" s="18" t="str">
        <x:f>IF(OR(C247="yes",X247="corrected",COUNTIF(Z247:AL247,"major")&gt;0,COUNTIF(Z247:AL247,"blocker")&gt;0,OR(AO247="repair",AO247="segment",AO247="replace",AO247="block")),"yes","no")</x:f>
        <x:v>no</x:v>
      </x:c>
      <x:c r="AZ247" s="18" t="str">
        <x:f>IF(AND(V247="reviewed",W247&gt;=1,X247&lt;&gt;"",Y247&lt;&gt;"",COUNTA(Z247:AL247)=13,AM247&lt;&gt;"",AN247&lt;&gt;"",AO247&lt;&gt;"",AP247&lt;&gt;"",AQ247&lt;&gt;"",AR247&lt;&gt;"",AS247="I_listened_at_1x_and_completed_all_required_fields",AT247&lt;&gt;"",AW247="adjudicated",OR(AY247="no",AND(AU247&lt;&gt;"",AV247&lt;&gt;""))),"complete","incomplete")</x:f>
        <x:v>incomplete</x:v>
      </x:c>
      <x:c r="BA247" s="18" t="str">
        <x:f>IF(AZ247="complete","none","faltan campos humanos, adjudicación o segunda revisión")</x:f>
        <x:v>faltan campos humanos, adjudicación o segunda revisión</x:v>
      </x:c>
    </x:row>
    <x:row r="248" ht="36" customHeight="1">
      <x:c r="A248" s="15" t="n">
        <x:v>247</x:v>
      </x:c>
      <x:c r="B248" s="15" t="str">
        <x:v>P3-SAMPLE</x:v>
      </x:c>
      <x:c r="C248" s="15" t="str">
        <x:v>no</x:v>
      </x:c>
      <x:c r="D248" s="15" t="str">
        <x:v>asset:toefl:set-16:part-12:repeat-5</x:v>
      </x:c>
      <x:c r="E248" s="15" t="str">
        <x:v>set-16</x:v>
      </x:c>
      <x:c r="F248" s="15" t="str">
        <x:v>Listen and Repeat</x:v>
      </x:c>
      <x:c r="G248" s="15" t="str">
        <x:v>/Users/josedavidduartesilva/Developer/idiomaswl/public/audio/toefl/set-16/repeat-5.mp3</x:v>
      </x:c>
      <x:c r="H248" s="19" t="n">
        <x:v>5.3</x:v>
      </x:c>
      <x:c r="I248" s="15" t="str">
        <x:v>P3</x:v>
      </x:c>
      <x:c r="J248" s="15" t="str">
        <x:v>stratified_sample_T08</x:v>
      </x:c>
      <x:c r="K248" s="15" t="str">
        <x:v>pass_automated_T06</x:v>
      </x:c>
      <x:c r="L248" s="15" t="str">
        <x:v>none</x:v>
      </x:c>
      <x:c r="M248" s="15" t="str">
        <x:v>none</x:v>
      </x:c>
      <x:c r="N248" s="15" t="str">
        <x:v>conserve_source_technical_candidate</x:v>
      </x:c>
      <x:c r="O248" s="15" t="str">
        <x:v>source_exact_normalized_supported_pending_human</x:v>
      </x:c>
      <x:c r="P248" s="15" t="str">
        <x:v>stratified_human_confirmation</x:v>
      </x:c>
      <x:c r="Q248" s="15" t="str">
        <x:v>Because the road was closed for repairs, the drivers had to take a much longer route home.</x:v>
      </x:c>
      <x:c r="R248" s="15" t="str">
        <x:v>Because the road was closed for repairs, the drivers had to take a much longer route home.</x:v>
      </x:c>
      <x:c r="S248" s="15" t="str">
        <x:v>none</x:v>
      </x:c>
      <x:c r="T248" s="15" t="str">
        <x:v>source_contract_preserved_subject_to_T08</x:v>
      </x:c>
      <x:c r="U248" s="15" t="str">
        <x:v>A_linguistic_conserve_candidate</x:v>
      </x:c>
      <x:c r="V248" s="16" t="str">
        <x:v>not_started</x:v>
      </x:c>
      <x:c r="W248" s="16"/>
      <x:c r="X248" s="16"/>
      <x:c r="Y248" s="16"/>
      <x:c r="Z248" s="16"/>
      <x:c r="AA248" s="16"/>
      <x:c r="AB248" s="16"/>
      <x:c r="AC248" s="16"/>
      <x:c r="AD248" s="16"/>
      <x:c r="AE248" s="16"/>
      <x:c r="AF248" s="16"/>
      <x:c r="AG248" s="16"/>
      <x:c r="AH248" s="16"/>
      <x:c r="AI248" s="16"/>
      <x:c r="AJ248" s="16"/>
      <x:c r="AK248" s="16"/>
      <x:c r="AL248" s="16"/>
      <x:c r="AM248" s="16"/>
      <x:c r="AN248" s="16"/>
      <x:c r="AO248" s="16"/>
      <x:c r="AP248" s="16"/>
      <x:c r="AQ248" s="16"/>
      <x:c r="AR248" s="16"/>
      <x:c r="AS248" s="16"/>
      <x:c r="AT248" s="20"/>
      <x:c r="AU248" s="16"/>
      <x:c r="AV248" s="16"/>
      <x:c r="AW248" s="16" t="str">
        <x:v>pending</x:v>
      </x:c>
      <x:c r="AX248" s="17" t="str">
        <x:v>blocked_not_validated</x:v>
      </x:c>
      <x:c r="AY248" s="18" t="str">
        <x:f>IF(OR(C248="yes",X248="corrected",COUNTIF(Z248:AL248,"major")&gt;0,COUNTIF(Z248:AL248,"blocker")&gt;0,OR(AO248="repair",AO248="segment",AO248="replace",AO248="block")),"yes","no")</x:f>
        <x:v>no</x:v>
      </x:c>
      <x:c r="AZ248" s="18" t="str">
        <x:f>IF(AND(V248="reviewed",W248&gt;=1,X248&lt;&gt;"",Y248&lt;&gt;"",COUNTA(Z248:AL248)=13,AM248&lt;&gt;"",AN248&lt;&gt;"",AO248&lt;&gt;"",AP248&lt;&gt;"",AQ248&lt;&gt;"",AR248&lt;&gt;"",AS248="I_listened_at_1x_and_completed_all_required_fields",AT248&lt;&gt;"",AW248="adjudicated",OR(AY248="no",AND(AU248&lt;&gt;"",AV248&lt;&gt;""))),"complete","incomplete")</x:f>
        <x:v>incomplete</x:v>
      </x:c>
      <x:c r="BA248" s="18" t="str">
        <x:f>IF(AZ248="complete","none","faltan campos humanos, adjudicación o segunda revisión")</x:f>
        <x:v>faltan campos humanos, adjudicación o segunda revisión</x:v>
      </x:c>
    </x:row>
    <x:row r="249" ht="36" customHeight="1">
      <x:c r="A249" s="15" t="n">
        <x:v>248</x:v>
      </x:c>
      <x:c r="B249" s="15" t="str">
        <x:v>P3-SAMPLE</x:v>
      </x:c>
      <x:c r="C249" s="15" t="str">
        <x:v>no</x:v>
      </x:c>
      <x:c r="D249" s="15" t="str">
        <x:v>asset:toefl:set-17:part-12:repeat-2</x:v>
      </x:c>
      <x:c r="E249" s="15" t="str">
        <x:v>set-17</x:v>
      </x:c>
      <x:c r="F249" s="15" t="str">
        <x:v>Listen and Repeat</x:v>
      </x:c>
      <x:c r="G249" s="15" t="str">
        <x:v>/Users/josedavidduartesilva/Developer/idiomaswl/public/audio/toefl/set-17/repeat-2.mp3</x:v>
      </x:c>
      <x:c r="H249" s="19" t="n">
        <x:v>2.98</x:v>
      </x:c>
      <x:c r="I249" s="15" t="str">
        <x:v>P3</x:v>
      </x:c>
      <x:c r="J249" s="15" t="str">
        <x:v>stratified_sample_T08</x:v>
      </x:c>
      <x:c r="K249" s="15" t="str">
        <x:v>pass_with_actionable_warning</x:v>
      </x:c>
      <x:c r="L249" s="15" t="str">
        <x:v>none</x:v>
      </x:c>
      <x:c r="M249" s="15" t="str">
        <x:v>TECH-LDN-003</x:v>
      </x:c>
      <x:c r="N249" s="15" t="str">
        <x:v>review_warning_in_T08_before_conserve</x:v>
      </x:c>
      <x:c r="O249" s="15" t="str">
        <x:v>source_exact_normalized_supported_pending_human</x:v>
      </x:c>
      <x:c r="P249" s="15" t="str">
        <x:v>stratified_human_confirmation</x:v>
      </x:c>
      <x:c r="Q249" s="15" t="str">
        <x:v>She wrote a letter and posted it the next day.</x:v>
      </x:c>
      <x:c r="R249" s="15" t="str">
        <x:v>She wrote a letter and posted it the next day.</x:v>
      </x:c>
      <x:c r="S249" s="15" t="str">
        <x:v>none</x:v>
      </x:c>
      <x:c r="T249" s="15" t="str">
        <x:v>source_contract_preserved_subject_to_T08</x:v>
      </x:c>
      <x:c r="U249" s="15" t="str">
        <x:v>A_linguistic_conserve_candidate</x:v>
      </x:c>
      <x:c r="V249" s="16" t="str">
        <x:v>not_started</x:v>
      </x:c>
      <x:c r="W249" s="16"/>
      <x:c r="X249" s="16"/>
      <x:c r="Y249" s="16"/>
      <x:c r="Z249" s="16"/>
      <x:c r="AA249" s="16"/>
      <x:c r="AB249" s="16"/>
      <x:c r="AC249" s="16"/>
      <x:c r="AD249" s="16"/>
      <x:c r="AE249" s="16"/>
      <x:c r="AF249" s="16"/>
      <x:c r="AG249" s="16"/>
      <x:c r="AH249" s="16"/>
      <x:c r="AI249" s="16"/>
      <x:c r="AJ249" s="16"/>
      <x:c r="AK249" s="16"/>
      <x:c r="AL249" s="16"/>
      <x:c r="AM249" s="16"/>
      <x:c r="AN249" s="16"/>
      <x:c r="AO249" s="16"/>
      <x:c r="AP249" s="16"/>
      <x:c r="AQ249" s="16"/>
      <x:c r="AR249" s="16"/>
      <x:c r="AS249" s="16"/>
      <x:c r="AT249" s="20"/>
      <x:c r="AU249" s="16"/>
      <x:c r="AV249" s="16"/>
      <x:c r="AW249" s="16" t="str">
        <x:v>pending</x:v>
      </x:c>
      <x:c r="AX249" s="17" t="str">
        <x:v>blocked_not_validated</x:v>
      </x:c>
      <x:c r="AY249" s="18" t="str">
        <x:f>IF(OR(C249="yes",X249="corrected",COUNTIF(Z249:AL249,"major")&gt;0,COUNTIF(Z249:AL249,"blocker")&gt;0,OR(AO249="repair",AO249="segment",AO249="replace",AO249="block")),"yes","no")</x:f>
        <x:v>no</x:v>
      </x:c>
      <x:c r="AZ249" s="18" t="str">
        <x:f>IF(AND(V249="reviewed",W249&gt;=1,X249&lt;&gt;"",Y249&lt;&gt;"",COUNTA(Z249:AL249)=13,AM249&lt;&gt;"",AN249&lt;&gt;"",AO249&lt;&gt;"",AP249&lt;&gt;"",AQ249&lt;&gt;"",AR249&lt;&gt;"",AS249="I_listened_at_1x_and_completed_all_required_fields",AT249&lt;&gt;"",AW249="adjudicated",OR(AY249="no",AND(AU249&lt;&gt;"",AV249&lt;&gt;""))),"complete","incomplete")</x:f>
        <x:v>incomplete</x:v>
      </x:c>
      <x:c r="BA249" s="18" t="str">
        <x:f>IF(AZ249="complete","none","faltan campos humanos, adjudicación o segunda revisión")</x:f>
        <x:v>faltan campos humanos, adjudicación o segunda revisión</x:v>
      </x:c>
    </x:row>
    <x:row r="250" ht="36" customHeight="1">
      <x:c r="A250" s="15" t="n">
        <x:v>249</x:v>
      </x:c>
      <x:c r="B250" s="15" t="str">
        <x:v>P3-SAMPLE</x:v>
      </x:c>
      <x:c r="C250" s="15" t="str">
        <x:v>no</x:v>
      </x:c>
      <x:c r="D250" s="15" t="str">
        <x:v>asset:toefl:set-17:part-12:repeat-5</x:v>
      </x:c>
      <x:c r="E250" s="15" t="str">
        <x:v>set-17</x:v>
      </x:c>
      <x:c r="F250" s="15" t="str">
        <x:v>Listen and Repeat</x:v>
      </x:c>
      <x:c r="G250" s="15" t="str">
        <x:v>/Users/josedavidduartesilva/Developer/idiomaswl/public/audio/toefl/set-17/repeat-5.mp3</x:v>
      </x:c>
      <x:c r="H250" s="19" t="n">
        <x:v>6.26</x:v>
      </x:c>
      <x:c r="I250" s="15" t="str">
        <x:v>P3</x:v>
      </x:c>
      <x:c r="J250" s="15" t="str">
        <x:v>stratified_sample_T08</x:v>
      </x:c>
      <x:c r="K250" s="15" t="str">
        <x:v>pass_automated_T06</x:v>
      </x:c>
      <x:c r="L250" s="15" t="str">
        <x:v>none</x:v>
      </x:c>
      <x:c r="M250" s="15" t="str">
        <x:v>none</x:v>
      </x:c>
      <x:c r="N250" s="15" t="str">
        <x:v>conserve_source_technical_candidate</x:v>
      </x:c>
      <x:c r="O250" s="15" t="str">
        <x:v>source_exact_normalized_supported_pending_human</x:v>
      </x:c>
      <x:c r="P250" s="15" t="str">
        <x:v>stratified_human_confirmation</x:v>
      </x:c>
      <x:c r="Q250" s="15" t="str">
        <x:v>Although the experiment failed the first time, the researchers learned enough to succeed on their second attempt.</x:v>
      </x:c>
      <x:c r="R250" s="15" t="str">
        <x:v>Although the experiment failed the first time, the researchers learned enough to succeed on their second attempt.</x:v>
      </x:c>
      <x:c r="S250" s="15" t="str">
        <x:v>none</x:v>
      </x:c>
      <x:c r="T250" s="15" t="str">
        <x:v>source_contract_preserved_subject_to_T08</x:v>
      </x:c>
      <x:c r="U250" s="15" t="str">
        <x:v>A_linguistic_conserve_candidate</x:v>
      </x:c>
      <x:c r="V250" s="16" t="str">
        <x:v>not_started</x:v>
      </x:c>
      <x:c r="W250" s="16"/>
      <x:c r="X250" s="16"/>
      <x:c r="Y250" s="16"/>
      <x:c r="Z250" s="16"/>
      <x:c r="AA250" s="16"/>
      <x:c r="AB250" s="16"/>
      <x:c r="AC250" s="16"/>
      <x:c r="AD250" s="16"/>
      <x:c r="AE250" s="16"/>
      <x:c r="AF250" s="16"/>
      <x:c r="AG250" s="16"/>
      <x:c r="AH250" s="16"/>
      <x:c r="AI250" s="16"/>
      <x:c r="AJ250" s="16"/>
      <x:c r="AK250" s="16"/>
      <x:c r="AL250" s="16"/>
      <x:c r="AM250" s="16"/>
      <x:c r="AN250" s="16"/>
      <x:c r="AO250" s="16"/>
      <x:c r="AP250" s="16"/>
      <x:c r="AQ250" s="16"/>
      <x:c r="AR250" s="16"/>
      <x:c r="AS250" s="16"/>
      <x:c r="AT250" s="20"/>
      <x:c r="AU250" s="16"/>
      <x:c r="AV250" s="16"/>
      <x:c r="AW250" s="16" t="str">
        <x:v>pending</x:v>
      </x:c>
      <x:c r="AX250" s="17" t="str">
        <x:v>blocked_not_validated</x:v>
      </x:c>
      <x:c r="AY250" s="18" t="str">
        <x:f>IF(OR(C250="yes",X250="corrected",COUNTIF(Z250:AL250,"major")&gt;0,COUNTIF(Z250:AL250,"blocker")&gt;0,OR(AO250="repair",AO250="segment",AO250="replace",AO250="block")),"yes","no")</x:f>
        <x:v>no</x:v>
      </x:c>
      <x:c r="AZ250" s="18" t="str">
        <x:f>IF(AND(V250="reviewed",W250&gt;=1,X250&lt;&gt;"",Y250&lt;&gt;"",COUNTA(Z250:AL250)=13,AM250&lt;&gt;"",AN250&lt;&gt;"",AO250&lt;&gt;"",AP250&lt;&gt;"",AQ250&lt;&gt;"",AR250&lt;&gt;"",AS250="I_listened_at_1x_and_completed_all_required_fields",AT250&lt;&gt;"",AW250="adjudicated",OR(AY250="no",AND(AU250&lt;&gt;"",AV250&lt;&gt;""))),"complete","incomplete")</x:f>
        <x:v>incomplete</x:v>
      </x:c>
      <x:c r="BA250" s="18" t="str">
        <x:f>IF(AZ250="complete","none","faltan campos humanos, adjudicación o segunda revisión")</x:f>
        <x:v>faltan campos humanos, adjudicación o segunda revisión</x:v>
      </x:c>
    </x:row>
    <x:row r="251" ht="36" customHeight="1">
      <x:c r="A251" s="15" t="n">
        <x:v>250</x:v>
      </x:c>
      <x:c r="B251" s="15" t="str">
        <x:v>P3-SAMPLE</x:v>
      </x:c>
      <x:c r="C251" s="15" t="str">
        <x:v>no</x:v>
      </x:c>
      <x:c r="D251" s="15" t="str">
        <x:v>asset:toefl:set-18:part-12:repeat-1</x:v>
      </x:c>
      <x:c r="E251" s="15" t="str">
        <x:v>set-18</x:v>
      </x:c>
      <x:c r="F251" s="15" t="str">
        <x:v>Listen and Repeat</x:v>
      </x:c>
      <x:c r="G251" s="15" t="str">
        <x:v>/Users/josedavidduartesilva/Developer/idiomaswl/public/audio/toefl/set-18/repeat-1.mp3</x:v>
      </x:c>
      <x:c r="H251" s="19" t="n">
        <x:v>2.26</x:v>
      </x:c>
      <x:c r="I251" s="15" t="str">
        <x:v>P3</x:v>
      </x:c>
      <x:c r="J251" s="15" t="str">
        <x:v>stratified_sample_T08</x:v>
      </x:c>
      <x:c r="K251" s="15" t="str">
        <x:v>pass_automated_T06</x:v>
      </x:c>
      <x:c r="L251" s="15" t="str">
        <x:v>none</x:v>
      </x:c>
      <x:c r="M251" s="15" t="str">
        <x:v>none</x:v>
      </x:c>
      <x:c r="N251" s="15" t="str">
        <x:v>conserve_source_technical_candidate</x:v>
      </x:c>
      <x:c r="O251" s="15" t="str">
        <x:v>source_exact_normalized_supported_pending_human</x:v>
      </x:c>
      <x:c r="P251" s="15" t="str">
        <x:v>stratified_human_confirmation</x:v>
      </x:c>
      <x:c r="Q251" s="15" t="str">
        <x:v>The class is on Monday.</x:v>
      </x:c>
      <x:c r="R251" s="15" t="str">
        <x:v>The class is on Monday.</x:v>
      </x:c>
      <x:c r="S251" s="15" t="str">
        <x:v>none</x:v>
      </x:c>
      <x:c r="T251" s="15" t="str">
        <x:v>source_contract_preserved_subject_to_T08</x:v>
      </x:c>
      <x:c r="U251" s="15" t="str">
        <x:v>A_linguistic_conserve_candidate</x:v>
      </x:c>
      <x:c r="V251" s="16" t="str">
        <x:v>not_started</x:v>
      </x:c>
      <x:c r="W251" s="16"/>
      <x:c r="X251" s="16"/>
      <x:c r="Y251" s="16"/>
      <x:c r="Z251" s="16"/>
      <x:c r="AA251" s="16"/>
      <x:c r="AB251" s="16"/>
      <x:c r="AC251" s="16"/>
      <x:c r="AD251" s="16"/>
      <x:c r="AE251" s="16"/>
      <x:c r="AF251" s="16"/>
      <x:c r="AG251" s="16"/>
      <x:c r="AH251" s="16"/>
      <x:c r="AI251" s="16"/>
      <x:c r="AJ251" s="16"/>
      <x:c r="AK251" s="16"/>
      <x:c r="AL251" s="16"/>
      <x:c r="AM251" s="16"/>
      <x:c r="AN251" s="16"/>
      <x:c r="AO251" s="16"/>
      <x:c r="AP251" s="16"/>
      <x:c r="AQ251" s="16"/>
      <x:c r="AR251" s="16"/>
      <x:c r="AS251" s="16"/>
      <x:c r="AT251" s="20"/>
      <x:c r="AU251" s="16"/>
      <x:c r="AV251" s="16"/>
      <x:c r="AW251" s="16" t="str">
        <x:v>pending</x:v>
      </x:c>
      <x:c r="AX251" s="17" t="str">
        <x:v>blocked_not_validated</x:v>
      </x:c>
      <x:c r="AY251" s="18" t="str">
        <x:f>IF(OR(C251="yes",X251="corrected",COUNTIF(Z251:AL251,"major")&gt;0,COUNTIF(Z251:AL251,"blocker")&gt;0,OR(AO251="repair",AO251="segment",AO251="replace",AO251="block")),"yes","no")</x:f>
        <x:v>no</x:v>
      </x:c>
      <x:c r="AZ251" s="18" t="str">
        <x:f>IF(AND(V251="reviewed",W251&gt;=1,X251&lt;&gt;"",Y251&lt;&gt;"",COUNTA(Z251:AL251)=13,AM251&lt;&gt;"",AN251&lt;&gt;"",AO251&lt;&gt;"",AP251&lt;&gt;"",AQ251&lt;&gt;"",AR251&lt;&gt;"",AS251="I_listened_at_1x_and_completed_all_required_fields",AT251&lt;&gt;"",AW251="adjudicated",OR(AY251="no",AND(AU251&lt;&gt;"",AV251&lt;&gt;""))),"complete","incomplete")</x:f>
        <x:v>incomplete</x:v>
      </x:c>
      <x:c r="BA251" s="18" t="str">
        <x:f>IF(AZ251="complete","none","faltan campos humanos, adjudicación o segunda revisión")</x:f>
        <x:v>faltan campos humanos, adjudicación o segunda revisión</x:v>
      </x:c>
    </x:row>
    <x:row r="252" ht="36" customHeight="1">
      <x:c r="A252" s="15" t="n">
        <x:v>251</x:v>
      </x:c>
      <x:c r="B252" s="15" t="str">
        <x:v>P3-SAMPLE</x:v>
      </x:c>
      <x:c r="C252" s="15" t="str">
        <x:v>no</x:v>
      </x:c>
      <x:c r="D252" s="15" t="str">
        <x:v>asset:toefl:set-18:part-12:repeat-2</x:v>
      </x:c>
      <x:c r="E252" s="15" t="str">
        <x:v>set-18</x:v>
      </x:c>
      <x:c r="F252" s="15" t="str">
        <x:v>Listen and Repeat</x:v>
      </x:c>
      <x:c r="G252" s="15" t="str">
        <x:v>/Users/josedavidduartesilva/Developer/idiomaswl/public/audio/toefl/set-18/repeat-2.mp3</x:v>
      </x:c>
      <x:c r="H252" s="19" t="n">
        <x:v>2.901</x:v>
      </x:c>
      <x:c r="I252" s="15" t="str">
        <x:v>P3</x:v>
      </x:c>
      <x:c r="J252" s="15" t="str">
        <x:v>stratified_sample_T08</x:v>
      </x:c>
      <x:c r="K252" s="15" t="str">
        <x:v>pass_with_actionable_warning</x:v>
      </x:c>
      <x:c r="L252" s="15" t="str">
        <x:v>none</x:v>
      </x:c>
      <x:c r="M252" s="15" t="str">
        <x:v>TECH-LDN-003</x:v>
      </x:c>
      <x:c r="N252" s="15" t="str">
        <x:v>review_warning_in_T08_before_conserve</x:v>
      </x:c>
      <x:c r="O252" s="15" t="str">
        <x:v>source_exact_normalized_supported_pending_human</x:v>
      </x:c>
      <x:c r="P252" s="15" t="str">
        <x:v>stratified_human_confirmation</x:v>
      </x:c>
      <x:c r="Q252" s="15" t="str">
        <x:v>She saved money to buy a new bicycle.</x:v>
      </x:c>
      <x:c r="R252" s="15" t="str">
        <x:v>She saved money to buy a new bicycle.</x:v>
      </x:c>
      <x:c r="S252" s="15" t="str">
        <x:v>none</x:v>
      </x:c>
      <x:c r="T252" s="15" t="str">
        <x:v>source_contract_preserved_subject_to_T08</x:v>
      </x:c>
      <x:c r="U252" s="15" t="str">
        <x:v>A_linguistic_conserve_candidate</x:v>
      </x:c>
      <x:c r="V252" s="16" t="str">
        <x:v>not_started</x:v>
      </x:c>
      <x:c r="W252" s="16"/>
      <x:c r="X252" s="16"/>
      <x:c r="Y252" s="16"/>
      <x:c r="Z252" s="16"/>
      <x:c r="AA252" s="16"/>
      <x:c r="AB252" s="16"/>
      <x:c r="AC252" s="16"/>
      <x:c r="AD252" s="16"/>
      <x:c r="AE252" s="16"/>
      <x:c r="AF252" s="16"/>
      <x:c r="AG252" s="16"/>
      <x:c r="AH252" s="16"/>
      <x:c r="AI252" s="16"/>
      <x:c r="AJ252" s="16"/>
      <x:c r="AK252" s="16"/>
      <x:c r="AL252" s="16"/>
      <x:c r="AM252" s="16"/>
      <x:c r="AN252" s="16"/>
      <x:c r="AO252" s="16"/>
      <x:c r="AP252" s="16"/>
      <x:c r="AQ252" s="16"/>
      <x:c r="AR252" s="16"/>
      <x:c r="AS252" s="16"/>
      <x:c r="AT252" s="20"/>
      <x:c r="AU252" s="16"/>
      <x:c r="AV252" s="16"/>
      <x:c r="AW252" s="16" t="str">
        <x:v>pending</x:v>
      </x:c>
      <x:c r="AX252" s="17" t="str">
        <x:v>blocked_not_validated</x:v>
      </x:c>
      <x:c r="AY252" s="18" t="str">
        <x:f>IF(OR(C252="yes",X252="corrected",COUNTIF(Z252:AL252,"major")&gt;0,COUNTIF(Z252:AL252,"blocker")&gt;0,OR(AO252="repair",AO252="segment",AO252="replace",AO252="block")),"yes","no")</x:f>
        <x:v>no</x:v>
      </x:c>
      <x:c r="AZ252" s="18" t="str">
        <x:f>IF(AND(V252="reviewed",W252&gt;=1,X252&lt;&gt;"",Y252&lt;&gt;"",COUNTA(Z252:AL252)=13,AM252&lt;&gt;"",AN252&lt;&gt;"",AO252&lt;&gt;"",AP252&lt;&gt;"",AQ252&lt;&gt;"",AR252&lt;&gt;"",AS252="I_listened_at_1x_and_completed_all_required_fields",AT252&lt;&gt;"",AW252="adjudicated",OR(AY252="no",AND(AU252&lt;&gt;"",AV252&lt;&gt;""))),"complete","incomplete")</x:f>
        <x:v>incomplete</x:v>
      </x:c>
      <x:c r="BA252" s="18" t="str">
        <x:f>IF(AZ252="complete","none","faltan campos humanos, adjudicación o segunda revisión")</x:f>
        <x:v>faltan campos humanos, adjudicación o segunda revisión</x:v>
      </x:c>
    </x:row>
    <x:row r="253" ht="36" customHeight="1">
      <x:c r="A253" s="15" t="n">
        <x:v>252</x:v>
      </x:c>
      <x:c r="B253" s="15" t="str">
        <x:v>P3-SAMPLE</x:v>
      </x:c>
      <x:c r="C253" s="15" t="str">
        <x:v>no</x:v>
      </x:c>
      <x:c r="D253" s="15" t="str">
        <x:v>asset:toefl:set-18:part-12:repeat-4</x:v>
      </x:c>
      <x:c r="E253" s="15" t="str">
        <x:v>set-18</x:v>
      </x:c>
      <x:c r="F253" s="15" t="str">
        <x:v>Listen and Repeat</x:v>
      </x:c>
      <x:c r="G253" s="15" t="str">
        <x:v>/Users/josedavidduartesilva/Developer/idiomaswl/public/audio/toefl/set-18/repeat-4.mp3</x:v>
      </x:c>
      <x:c r="H253" s="19" t="n">
        <x:v>4.74</x:v>
      </x:c>
      <x:c r="I253" s="15" t="str">
        <x:v>P3</x:v>
      </x:c>
      <x:c r="J253" s="15" t="str">
        <x:v>stratified_sample_T08</x:v>
      </x:c>
      <x:c r="K253" s="15" t="str">
        <x:v>pass_with_actionable_warning</x:v>
      </x:c>
      <x:c r="L253" s="15" t="str">
        <x:v>none</x:v>
      </x:c>
      <x:c r="M253" s="15" t="str">
        <x:v>TECH-LDN-003</x:v>
      </x:c>
      <x:c r="N253" s="15" t="str">
        <x:v>review_warning_in_T08_before_conserve</x:v>
      </x:c>
      <x:c r="O253" s="15" t="str">
        <x:v>source_exact_normalized_supported_pending_human</x:v>
      </x:c>
      <x:c r="P253" s="15" t="str">
        <x:v>stratified_human_confirmation</x:v>
      </x:c>
      <x:c r="Q253" s="15" t="str">
        <x:v>The article argued that reading for pleasure improves writing skills over time.</x:v>
      </x:c>
      <x:c r="R253" s="15" t="str">
        <x:v>The article argued that reading for pleasure improves writing skills over time.</x:v>
      </x:c>
      <x:c r="S253" s="15" t="str">
        <x:v>none</x:v>
      </x:c>
      <x:c r="T253" s="15" t="str">
        <x:v>source_contract_preserved_subject_to_T08</x:v>
      </x:c>
      <x:c r="U253" s="15" t="str">
        <x:v>A_linguistic_conserve_candidate</x:v>
      </x:c>
      <x:c r="V253" s="16" t="str">
        <x:v>not_started</x:v>
      </x:c>
      <x:c r="W253" s="16"/>
      <x:c r="X253" s="16"/>
      <x:c r="Y253" s="16"/>
      <x:c r="Z253" s="16"/>
      <x:c r="AA253" s="16"/>
      <x:c r="AB253" s="16"/>
      <x:c r="AC253" s="16"/>
      <x:c r="AD253" s="16"/>
      <x:c r="AE253" s="16"/>
      <x:c r="AF253" s="16"/>
      <x:c r="AG253" s="16"/>
      <x:c r="AH253" s="16"/>
      <x:c r="AI253" s="16"/>
      <x:c r="AJ253" s="16"/>
      <x:c r="AK253" s="16"/>
      <x:c r="AL253" s="16"/>
      <x:c r="AM253" s="16"/>
      <x:c r="AN253" s="16"/>
      <x:c r="AO253" s="16"/>
      <x:c r="AP253" s="16"/>
      <x:c r="AQ253" s="16"/>
      <x:c r="AR253" s="16"/>
      <x:c r="AS253" s="16"/>
      <x:c r="AT253" s="20"/>
      <x:c r="AU253" s="16"/>
      <x:c r="AV253" s="16"/>
      <x:c r="AW253" s="16" t="str">
        <x:v>pending</x:v>
      </x:c>
      <x:c r="AX253" s="17" t="str">
        <x:v>blocked_not_validated</x:v>
      </x:c>
      <x:c r="AY253" s="18" t="str">
        <x:f>IF(OR(C253="yes",X253="corrected",COUNTIF(Z253:AL253,"major")&gt;0,COUNTIF(Z253:AL253,"blocker")&gt;0,OR(AO253="repair",AO253="segment",AO253="replace",AO253="block")),"yes","no")</x:f>
        <x:v>no</x:v>
      </x:c>
      <x:c r="AZ253" s="18" t="str">
        <x:f>IF(AND(V253="reviewed",W253&gt;=1,X253&lt;&gt;"",Y253&lt;&gt;"",COUNTA(Z253:AL253)=13,AM253&lt;&gt;"",AN253&lt;&gt;"",AO253&lt;&gt;"",AP253&lt;&gt;"",AQ253&lt;&gt;"",AR253&lt;&gt;"",AS253="I_listened_at_1x_and_completed_all_required_fields",AT253&lt;&gt;"",AW253="adjudicated",OR(AY253="no",AND(AU253&lt;&gt;"",AV253&lt;&gt;""))),"complete","incomplete")</x:f>
        <x:v>incomplete</x:v>
      </x:c>
      <x:c r="BA253" s="18" t="str">
        <x:f>IF(AZ253="complete","none","faltan campos humanos, adjudicación o segunda revisión")</x:f>
        <x:v>faltan campos humanos, adjudicación o segunda revisión</x:v>
      </x:c>
    </x:row>
    <x:row r="254" ht="36" customHeight="1">
      <x:c r="A254" s="15" t="n">
        <x:v>253</x:v>
      </x:c>
      <x:c r="B254" s="15" t="str">
        <x:v>P3-SAMPLE</x:v>
      </x:c>
      <x:c r="C254" s="15" t="str">
        <x:v>no</x:v>
      </x:c>
      <x:c r="D254" s="15" t="str">
        <x:v>asset:toefl:set-18:part-12:repeat-5</x:v>
      </x:c>
      <x:c r="E254" s="15" t="str">
        <x:v>set-18</x:v>
      </x:c>
      <x:c r="F254" s="15" t="str">
        <x:v>Listen and Repeat</x:v>
      </x:c>
      <x:c r="G254" s="15" t="str">
        <x:v>/Users/josedavidduartesilva/Developer/idiomaswl/public/audio/toefl/set-18/repeat-5.mp3</x:v>
      </x:c>
      <x:c r="H254" s="19" t="n">
        <x:v>6.58</x:v>
      </x:c>
      <x:c r="I254" s="15" t="str">
        <x:v>P3</x:v>
      </x:c>
      <x:c r="J254" s="15" t="str">
        <x:v>stratified_sample_T08</x:v>
      </x:c>
      <x:c r="K254" s="15" t="str">
        <x:v>pass_automated_T06</x:v>
      </x:c>
      <x:c r="L254" s="15" t="str">
        <x:v>none</x:v>
      </x:c>
      <x:c r="M254" s="15" t="str">
        <x:v>none</x:v>
      </x:c>
      <x:c r="N254" s="15" t="str">
        <x:v>conserve_source_technical_candidate</x:v>
      </x:c>
      <x:c r="O254" s="15" t="str">
        <x:v>source_exact_normalized_supported_pending_human</x:v>
      </x:c>
      <x:c r="P254" s="15" t="str">
        <x:v>stratified_human_confirmation</x:v>
      </x:c>
      <x:c r="Q254" s="15" t="str">
        <x:v>When the new bridge finally opened, the journey between the two towns became much shorter and safer.</x:v>
      </x:c>
      <x:c r="R254" s="15" t="str">
        <x:v>When the new bridge finally opened, the journey between the two towns became much shorter and safer.</x:v>
      </x:c>
      <x:c r="S254" s="15" t="str">
        <x:v>none</x:v>
      </x:c>
      <x:c r="T254" s="15" t="str">
        <x:v>source_contract_preserved_subject_to_T08</x:v>
      </x:c>
      <x:c r="U254" s="15" t="str">
        <x:v>A_linguistic_conserve_candidate</x:v>
      </x:c>
      <x:c r="V254" s="16" t="str">
        <x:v>not_started</x:v>
      </x:c>
      <x:c r="W254" s="16"/>
      <x:c r="X254" s="16"/>
      <x:c r="Y254" s="16"/>
      <x:c r="Z254" s="16"/>
      <x:c r="AA254" s="16"/>
      <x:c r="AB254" s="16"/>
      <x:c r="AC254" s="16"/>
      <x:c r="AD254" s="16"/>
      <x:c r="AE254" s="16"/>
      <x:c r="AF254" s="16"/>
      <x:c r="AG254" s="16"/>
      <x:c r="AH254" s="16"/>
      <x:c r="AI254" s="16"/>
      <x:c r="AJ254" s="16"/>
      <x:c r="AK254" s="16"/>
      <x:c r="AL254" s="16"/>
      <x:c r="AM254" s="16"/>
      <x:c r="AN254" s="16"/>
      <x:c r="AO254" s="16"/>
      <x:c r="AP254" s="16"/>
      <x:c r="AQ254" s="16"/>
      <x:c r="AR254" s="16"/>
      <x:c r="AS254" s="16"/>
      <x:c r="AT254" s="20"/>
      <x:c r="AU254" s="16"/>
      <x:c r="AV254" s="16"/>
      <x:c r="AW254" s="16" t="str">
        <x:v>pending</x:v>
      </x:c>
      <x:c r="AX254" s="17" t="str">
        <x:v>blocked_not_validated</x:v>
      </x:c>
      <x:c r="AY254" s="18" t="str">
        <x:f>IF(OR(C254="yes",X254="corrected",COUNTIF(Z254:AL254,"major")&gt;0,COUNTIF(Z254:AL254,"blocker")&gt;0,OR(AO254="repair",AO254="segment",AO254="replace",AO254="block")),"yes","no")</x:f>
        <x:v>no</x:v>
      </x:c>
      <x:c r="AZ254" s="18" t="str">
        <x:f>IF(AND(V254="reviewed",W254&gt;=1,X254&lt;&gt;"",Y254&lt;&gt;"",COUNTA(Z254:AL254)=13,AM254&lt;&gt;"",AN254&lt;&gt;"",AO254&lt;&gt;"",AP254&lt;&gt;"",AQ254&lt;&gt;"",AR254&lt;&gt;"",AS254="I_listened_at_1x_and_completed_all_required_fields",AT254&lt;&gt;"",AW254="adjudicated",OR(AY254="no",AND(AU254&lt;&gt;"",AV254&lt;&gt;""))),"complete","incomplete")</x:f>
        <x:v>incomplete</x:v>
      </x:c>
      <x:c r="BA254" s="18" t="str">
        <x:f>IF(AZ254="complete","none","faltan campos humanos, adjudicación o segunda revisión")</x:f>
        <x:v>faltan campos humanos, adjudicación o segunda revisión</x:v>
      </x:c>
    </x:row>
    <x:row r="255" ht="36" customHeight="1">
      <x:c r="A255" s="15" t="n">
        <x:v>254</x:v>
      </x:c>
      <x:c r="B255" s="15" t="str">
        <x:v>P3-SAMPLE</x:v>
      </x:c>
      <x:c r="C255" s="15" t="str">
        <x:v>no</x:v>
      </x:c>
      <x:c r="D255" s="15" t="str">
        <x:v>asset:toefl:set-19:part-12:repeat-1</x:v>
      </x:c>
      <x:c r="E255" s="15" t="str">
        <x:v>set-19</x:v>
      </x:c>
      <x:c r="F255" s="15" t="str">
        <x:v>Listen and Repeat</x:v>
      </x:c>
      <x:c r="G255" s="15" t="str">
        <x:v>/Users/josedavidduartesilva/Developer/idiomaswl/public/audio/toefl/set-19/repeat-1.mp3</x:v>
      </x:c>
      <x:c r="H255" s="19" t="n">
        <x:v>2.58</x:v>
      </x:c>
      <x:c r="I255" s="15" t="str">
        <x:v>P3</x:v>
      </x:c>
      <x:c r="J255" s="15" t="str">
        <x:v>stratified_sample_T08</x:v>
      </x:c>
      <x:c r="K255" s="15" t="str">
        <x:v>pass_automated_T06</x:v>
      </x:c>
      <x:c r="L255" s="15" t="str">
        <x:v>none</x:v>
      </x:c>
      <x:c r="M255" s="15" t="str">
        <x:v>none</x:v>
      </x:c>
      <x:c r="N255" s="15" t="str">
        <x:v>conserve_source_technical_candidate</x:v>
      </x:c>
      <x:c r="O255" s="15" t="str">
        <x:v>source_exact_normalized_supported_pending_human</x:v>
      </x:c>
      <x:c r="P255" s="15" t="str">
        <x:v>stratified_human_confirmation</x:v>
      </x:c>
      <x:c r="Q255" s="15" t="str">
        <x:v>The bakery smells wonderful.</x:v>
      </x:c>
      <x:c r="R255" s="15" t="str">
        <x:v>The bakery smells wonderful!</x:v>
      </x:c>
      <x:c r="S255" s="15" t="str">
        <x:v>none</x:v>
      </x:c>
      <x:c r="T255" s="15" t="str">
        <x:v>source_contract_preserved_subject_to_T08</x:v>
      </x:c>
      <x:c r="U255" s="15" t="str">
        <x:v>A_linguistic_conserve_candidate</x:v>
      </x:c>
      <x:c r="V255" s="16" t="str">
        <x:v>not_started</x:v>
      </x:c>
      <x:c r="W255" s="16"/>
      <x:c r="X255" s="16"/>
      <x:c r="Y255" s="16"/>
      <x:c r="Z255" s="16"/>
      <x:c r="AA255" s="16"/>
      <x:c r="AB255" s="16"/>
      <x:c r="AC255" s="16"/>
      <x:c r="AD255" s="16"/>
      <x:c r="AE255" s="16"/>
      <x:c r="AF255" s="16"/>
      <x:c r="AG255" s="16"/>
      <x:c r="AH255" s="16"/>
      <x:c r="AI255" s="16"/>
      <x:c r="AJ255" s="16"/>
      <x:c r="AK255" s="16"/>
      <x:c r="AL255" s="16"/>
      <x:c r="AM255" s="16"/>
      <x:c r="AN255" s="16"/>
      <x:c r="AO255" s="16"/>
      <x:c r="AP255" s="16"/>
      <x:c r="AQ255" s="16"/>
      <x:c r="AR255" s="16"/>
      <x:c r="AS255" s="16"/>
      <x:c r="AT255" s="20"/>
      <x:c r="AU255" s="16"/>
      <x:c r="AV255" s="16"/>
      <x:c r="AW255" s="16" t="str">
        <x:v>pending</x:v>
      </x:c>
      <x:c r="AX255" s="17" t="str">
        <x:v>blocked_not_validated</x:v>
      </x:c>
      <x:c r="AY255" s="18" t="str">
        <x:f>IF(OR(C255="yes",X255="corrected",COUNTIF(Z255:AL255,"major")&gt;0,COUNTIF(Z255:AL255,"blocker")&gt;0,OR(AO255="repair",AO255="segment",AO255="replace",AO255="block")),"yes","no")</x:f>
        <x:v>no</x:v>
      </x:c>
      <x:c r="AZ255" s="18" t="str">
        <x:f>IF(AND(V255="reviewed",W255&gt;=1,X255&lt;&gt;"",Y255&lt;&gt;"",COUNTA(Z255:AL255)=13,AM255&lt;&gt;"",AN255&lt;&gt;"",AO255&lt;&gt;"",AP255&lt;&gt;"",AQ255&lt;&gt;"",AR255&lt;&gt;"",AS255="I_listened_at_1x_and_completed_all_required_fields",AT255&lt;&gt;"",AW255="adjudicated",OR(AY255="no",AND(AU255&lt;&gt;"",AV255&lt;&gt;""))),"complete","incomplete")</x:f>
        <x:v>incomplete</x:v>
      </x:c>
      <x:c r="BA255" s="18" t="str">
        <x:f>IF(AZ255="complete","none","faltan campos humanos, adjudicación o segunda revisión")</x:f>
        <x:v>faltan campos humanos, adjudicación o segunda revisión</x:v>
      </x:c>
    </x:row>
    <x:row r="256" ht="36" customHeight="1">
      <x:c r="A256" s="15" t="n">
        <x:v>255</x:v>
      </x:c>
      <x:c r="B256" s="15" t="str">
        <x:v>P3-SAMPLE</x:v>
      </x:c>
      <x:c r="C256" s="15" t="str">
        <x:v>no</x:v>
      </x:c>
      <x:c r="D256" s="15" t="str">
        <x:v>asset:toefl:set-19:part-12:repeat-3</x:v>
      </x:c>
      <x:c r="E256" s="15" t="str">
        <x:v>set-19</x:v>
      </x:c>
      <x:c r="F256" s="15" t="str">
        <x:v>Listen and Repeat</x:v>
      </x:c>
      <x:c r="G256" s="15" t="str">
        <x:v>/Users/josedavidduartesilva/Developer/idiomaswl/public/audio/toefl/set-19/repeat-3.mp3</x:v>
      </x:c>
      <x:c r="H256" s="19" t="n">
        <x:v>3.22</x:v>
      </x:c>
      <x:c r="I256" s="15" t="str">
        <x:v>P3</x:v>
      </x:c>
      <x:c r="J256" s="15" t="str">
        <x:v>stratified_sample_T08</x:v>
      </x:c>
      <x:c r="K256" s="15" t="str">
        <x:v>pass_automated_T06</x:v>
      </x:c>
      <x:c r="L256" s="15" t="str">
        <x:v>none</x:v>
      </x:c>
      <x:c r="M256" s="15" t="str">
        <x:v>none</x:v>
      </x:c>
      <x:c r="N256" s="15" t="str">
        <x:v>conserve_source_technical_candidate</x:v>
      </x:c>
      <x:c r="O256" s="15" t="str">
        <x:v>source_exact_normalized_supported_pending_human</x:v>
      </x:c>
      <x:c r="P256" s="15" t="str">
        <x:v>stratified_human_confirmation</x:v>
      </x:c>
      <x:c r="Q256" s="15" t="str">
        <x:v>The teacher praised the students for their hard work.</x:v>
      </x:c>
      <x:c r="R256" s="15" t="str">
        <x:v>The teacher praised the students for their hard work.</x:v>
      </x:c>
      <x:c r="S256" s="15" t="str">
        <x:v>none</x:v>
      </x:c>
      <x:c r="T256" s="15" t="str">
        <x:v>source_contract_preserved_subject_to_T08</x:v>
      </x:c>
      <x:c r="U256" s="15" t="str">
        <x:v>A_linguistic_conserve_candidate</x:v>
      </x:c>
      <x:c r="V256" s="16" t="str">
        <x:v>not_started</x:v>
      </x:c>
      <x:c r="W256" s="16"/>
      <x:c r="X256" s="16"/>
      <x:c r="Y256" s="16"/>
      <x:c r="Z256" s="16"/>
      <x:c r="AA256" s="16"/>
      <x:c r="AB256" s="16"/>
      <x:c r="AC256" s="16"/>
      <x:c r="AD256" s="16"/>
      <x:c r="AE256" s="16"/>
      <x:c r="AF256" s="16"/>
      <x:c r="AG256" s="16"/>
      <x:c r="AH256" s="16"/>
      <x:c r="AI256" s="16"/>
      <x:c r="AJ256" s="16"/>
      <x:c r="AK256" s="16"/>
      <x:c r="AL256" s="16"/>
      <x:c r="AM256" s="16"/>
      <x:c r="AN256" s="16"/>
      <x:c r="AO256" s="16"/>
      <x:c r="AP256" s="16"/>
      <x:c r="AQ256" s="16"/>
      <x:c r="AR256" s="16"/>
      <x:c r="AS256" s="16"/>
      <x:c r="AT256" s="20"/>
      <x:c r="AU256" s="16"/>
      <x:c r="AV256" s="16"/>
      <x:c r="AW256" s="16" t="str">
        <x:v>pending</x:v>
      </x:c>
      <x:c r="AX256" s="17" t="str">
        <x:v>blocked_not_validated</x:v>
      </x:c>
      <x:c r="AY256" s="18" t="str">
        <x:f>IF(OR(C256="yes",X256="corrected",COUNTIF(Z256:AL256,"major")&gt;0,COUNTIF(Z256:AL256,"blocker")&gt;0,OR(AO256="repair",AO256="segment",AO256="replace",AO256="block")),"yes","no")</x:f>
        <x:v>no</x:v>
      </x:c>
      <x:c r="AZ256" s="18" t="str">
        <x:f>IF(AND(V256="reviewed",W256&gt;=1,X256&lt;&gt;"",Y256&lt;&gt;"",COUNTA(Z256:AL256)=13,AM256&lt;&gt;"",AN256&lt;&gt;"",AO256&lt;&gt;"",AP256&lt;&gt;"",AQ256&lt;&gt;"",AR256&lt;&gt;"",AS256="I_listened_at_1x_and_completed_all_required_fields",AT256&lt;&gt;"",AW256="adjudicated",OR(AY256="no",AND(AU256&lt;&gt;"",AV256&lt;&gt;""))),"complete","incomplete")</x:f>
        <x:v>incomplete</x:v>
      </x:c>
      <x:c r="BA256" s="18" t="str">
        <x:f>IF(AZ256="complete","none","faltan campos humanos, adjudicación o segunda revisión")</x:f>
        <x:v>faltan campos humanos, adjudicación o segunda revisión</x:v>
      </x:c>
    </x:row>
    <x:row r="257" ht="36" customHeight="1">
      <x:c r="A257" s="15" t="n">
        <x:v>256</x:v>
      </x:c>
      <x:c r="B257" s="15" t="str">
        <x:v>P3-SAMPLE</x:v>
      </x:c>
      <x:c r="C257" s="15" t="str">
        <x:v>no</x:v>
      </x:c>
      <x:c r="D257" s="15" t="str">
        <x:v>asset:toefl:set-19:part-12:repeat-4</x:v>
      </x:c>
      <x:c r="E257" s="15" t="str">
        <x:v>set-19</x:v>
      </x:c>
      <x:c r="F257" s="15" t="str">
        <x:v>Listen and Repeat</x:v>
      </x:c>
      <x:c r="G257" s="15" t="str">
        <x:v>/Users/josedavidduartesilva/Developer/idiomaswl/public/audio/toefl/set-19/repeat-4.mp3</x:v>
      </x:c>
      <x:c r="H257" s="19" t="n">
        <x:v>4.74</x:v>
      </x:c>
      <x:c r="I257" s="15" t="str">
        <x:v>P3</x:v>
      </x:c>
      <x:c r="J257" s="15" t="str">
        <x:v>stratified_sample_T08</x:v>
      </x:c>
      <x:c r="K257" s="15" t="str">
        <x:v>pass_automated_T06</x:v>
      </x:c>
      <x:c r="L257" s="15" t="str">
        <x:v>none</x:v>
      </x:c>
      <x:c r="M257" s="15" t="str">
        <x:v>none</x:v>
      </x:c>
      <x:c r="N257" s="15" t="str">
        <x:v>conserve_source_technical_candidate</x:v>
      </x:c>
      <x:c r="O257" s="15" t="str">
        <x:v>source_exact_normalized_supported_pending_human</x:v>
      </x:c>
      <x:c r="P257" s="15" t="str">
        <x:v>stratified_human_confirmation</x:v>
      </x:c>
      <x:c r="Q257" s="15" t="str">
        <x:v>The study showed that people who walk daily tend to sleep better at night.</x:v>
      </x:c>
      <x:c r="R257" s="15" t="str">
        <x:v>The study showed that people who walk daily tend to sleep better at night.</x:v>
      </x:c>
      <x:c r="S257" s="15" t="str">
        <x:v>none</x:v>
      </x:c>
      <x:c r="T257" s="15" t="str">
        <x:v>source_contract_preserved_subject_to_T08</x:v>
      </x:c>
      <x:c r="U257" s="15" t="str">
        <x:v>A_linguistic_conserve_candidate</x:v>
      </x:c>
      <x:c r="V257" s="16" t="str">
        <x:v>not_started</x:v>
      </x:c>
      <x:c r="W257" s="16"/>
      <x:c r="X257" s="16"/>
      <x:c r="Y257" s="16"/>
      <x:c r="Z257" s="16"/>
      <x:c r="AA257" s="16"/>
      <x:c r="AB257" s="16"/>
      <x:c r="AC257" s="16"/>
      <x:c r="AD257" s="16"/>
      <x:c r="AE257" s="16"/>
      <x:c r="AF257" s="16"/>
      <x:c r="AG257" s="16"/>
      <x:c r="AH257" s="16"/>
      <x:c r="AI257" s="16"/>
      <x:c r="AJ257" s="16"/>
      <x:c r="AK257" s="16"/>
      <x:c r="AL257" s="16"/>
      <x:c r="AM257" s="16"/>
      <x:c r="AN257" s="16"/>
      <x:c r="AO257" s="16"/>
      <x:c r="AP257" s="16"/>
      <x:c r="AQ257" s="16"/>
      <x:c r="AR257" s="16"/>
      <x:c r="AS257" s="16"/>
      <x:c r="AT257" s="20"/>
      <x:c r="AU257" s="16"/>
      <x:c r="AV257" s="16"/>
      <x:c r="AW257" s="16" t="str">
        <x:v>pending</x:v>
      </x:c>
      <x:c r="AX257" s="17" t="str">
        <x:v>blocked_not_validated</x:v>
      </x:c>
      <x:c r="AY257" s="18" t="str">
        <x:f>IF(OR(C257="yes",X257="corrected",COUNTIF(Z257:AL257,"major")&gt;0,COUNTIF(Z257:AL257,"blocker")&gt;0,OR(AO257="repair",AO257="segment",AO257="replace",AO257="block")),"yes","no")</x:f>
        <x:v>no</x:v>
      </x:c>
      <x:c r="AZ257" s="18" t="str">
        <x:f>IF(AND(V257="reviewed",W257&gt;=1,X257&lt;&gt;"",Y257&lt;&gt;"",COUNTA(Z257:AL257)=13,AM257&lt;&gt;"",AN257&lt;&gt;"",AO257&lt;&gt;"",AP257&lt;&gt;"",AQ257&lt;&gt;"",AR257&lt;&gt;"",AS257="I_listened_at_1x_and_completed_all_required_fields",AT257&lt;&gt;"",AW257="adjudicated",OR(AY257="no",AND(AU257&lt;&gt;"",AV257&lt;&gt;""))),"complete","incomplete")</x:f>
        <x:v>incomplete</x:v>
      </x:c>
      <x:c r="BA257" s="18" t="str">
        <x:f>IF(AZ257="complete","none","faltan campos humanos, adjudicación o segunda revisión")</x:f>
        <x:v>faltan campos humanos, adjudicación o segunda revisión</x:v>
      </x:c>
    </x:row>
    <x:row r="258" ht="36" customHeight="1">
      <x:c r="A258" s="15" t="n">
        <x:v>257</x:v>
      </x:c>
      <x:c r="B258" s="15" t="str">
        <x:v>P3-SAMPLE</x:v>
      </x:c>
      <x:c r="C258" s="15" t="str">
        <x:v>no</x:v>
      </x:c>
      <x:c r="D258" s="15" t="str">
        <x:v>asset:toefl:set-19:part-12:repeat-5</x:v>
      </x:c>
      <x:c r="E258" s="15" t="str">
        <x:v>set-19</x:v>
      </x:c>
      <x:c r="F258" s="15" t="str">
        <x:v>Listen and Repeat</x:v>
      </x:c>
      <x:c r="G258" s="15" t="str">
        <x:v>/Users/josedavidduartesilva/Developer/idiomaswl/public/audio/toefl/set-19/repeat-5.mp3</x:v>
      </x:c>
      <x:c r="H258" s="19" t="n">
        <x:v>5.7</x:v>
      </x:c>
      <x:c r="I258" s="15" t="str">
        <x:v>P3</x:v>
      </x:c>
      <x:c r="J258" s="15" t="str">
        <x:v>stratified_sample_T08</x:v>
      </x:c>
      <x:c r="K258" s="15" t="str">
        <x:v>pass_with_actionable_warning</x:v>
      </x:c>
      <x:c r="L258" s="15" t="str">
        <x:v>none</x:v>
      </x:c>
      <x:c r="M258" s="15" t="str">
        <x:v>TECH-PEAK-003</x:v>
      </x:c>
      <x:c r="N258" s="15" t="str">
        <x:v>review_warning_in_T08_before_conserve</x:v>
      </x:c>
      <x:c r="O258" s="15" t="str">
        <x:v>source_exact_normalized_supported_pending_human</x:v>
      </x:c>
      <x:c r="P258" s="15" t="str">
        <x:v>stratified_human_confirmation</x:v>
      </x:c>
      <x:c r="Q258" s="15" t="str">
        <x:v>After the committee had reviewed all the applications, it invited ten candidates to attend an interview.</x:v>
      </x:c>
      <x:c r="R258" s="15" t="str">
        <x:v>After the committee had reviewed all the applications, it invited ten candidates to attend an interview.</x:v>
      </x:c>
      <x:c r="S258" s="15" t="str">
        <x:v>none</x:v>
      </x:c>
      <x:c r="T258" s="15" t="str">
        <x:v>source_contract_preserved_subject_to_T08</x:v>
      </x:c>
      <x:c r="U258" s="15" t="str">
        <x:v>A_linguistic_conserve_candidate</x:v>
      </x:c>
      <x:c r="V258" s="16" t="str">
        <x:v>not_started</x:v>
      </x:c>
      <x:c r="W258" s="16"/>
      <x:c r="X258" s="16"/>
      <x:c r="Y258" s="16"/>
      <x:c r="Z258" s="16"/>
      <x:c r="AA258" s="16"/>
      <x:c r="AB258" s="16"/>
      <x:c r="AC258" s="16"/>
      <x:c r="AD258" s="16"/>
      <x:c r="AE258" s="16"/>
      <x:c r="AF258" s="16"/>
      <x:c r="AG258" s="16"/>
      <x:c r="AH258" s="16"/>
      <x:c r="AI258" s="16"/>
      <x:c r="AJ258" s="16"/>
      <x:c r="AK258" s="16"/>
      <x:c r="AL258" s="16"/>
      <x:c r="AM258" s="16"/>
      <x:c r="AN258" s="16"/>
      <x:c r="AO258" s="16"/>
      <x:c r="AP258" s="16"/>
      <x:c r="AQ258" s="16"/>
      <x:c r="AR258" s="16"/>
      <x:c r="AS258" s="16"/>
      <x:c r="AT258" s="20"/>
      <x:c r="AU258" s="16"/>
      <x:c r="AV258" s="16"/>
      <x:c r="AW258" s="16" t="str">
        <x:v>pending</x:v>
      </x:c>
      <x:c r="AX258" s="17" t="str">
        <x:v>blocked_not_validated</x:v>
      </x:c>
      <x:c r="AY258" s="18" t="str">
        <x:f>IF(OR(C258="yes",X258="corrected",COUNTIF(Z258:AL258,"major")&gt;0,COUNTIF(Z258:AL258,"blocker")&gt;0,OR(AO258="repair",AO258="segment",AO258="replace",AO258="block")),"yes","no")</x:f>
        <x:v>no</x:v>
      </x:c>
      <x:c r="AZ258" s="18" t="str">
        <x:f>IF(AND(V258="reviewed",W258&gt;=1,X258&lt;&gt;"",Y258&lt;&gt;"",COUNTA(Z258:AL258)=13,AM258&lt;&gt;"",AN258&lt;&gt;"",AO258&lt;&gt;"",AP258&lt;&gt;"",AQ258&lt;&gt;"",AR258&lt;&gt;"",AS258="I_listened_at_1x_and_completed_all_required_fields",AT258&lt;&gt;"",AW258="adjudicated",OR(AY258="no",AND(AU258&lt;&gt;"",AV258&lt;&gt;""))),"complete","incomplete")</x:f>
        <x:v>incomplete</x:v>
      </x:c>
      <x:c r="BA258" s="18" t="str">
        <x:f>IF(AZ258="complete","none","faltan campos humanos, adjudicación o segunda revisión")</x:f>
        <x:v>faltan campos humanos, adjudicación o segunda revisión</x:v>
      </x:c>
    </x:row>
    <x:row r="259" ht="36" customHeight="1">
      <x:c r="A259" s="15" t="n">
        <x:v>258</x:v>
      </x:c>
      <x:c r="B259" s="15" t="str">
        <x:v>P3-SAMPLE</x:v>
      </x:c>
      <x:c r="C259" s="15" t="str">
        <x:v>no</x:v>
      </x:c>
      <x:c r="D259" s="15" t="str">
        <x:v>asset:toefl:set-20:part-12:repeat-1</x:v>
      </x:c>
      <x:c r="E259" s="15" t="str">
        <x:v>set-20</x:v>
      </x:c>
      <x:c r="F259" s="15" t="str">
        <x:v>Listen and Repeat</x:v>
      </x:c>
      <x:c r="G259" s="15" t="str">
        <x:v>/Users/josedavidduartesilva/Developer/idiomaswl/public/audio/toefl/set-20/repeat-1.mp3</x:v>
      </x:c>
      <x:c r="H259" s="19" t="n">
        <x:v>2.34</x:v>
      </x:c>
      <x:c r="I259" s="15" t="str">
        <x:v>P3</x:v>
      </x:c>
      <x:c r="J259" s="15" t="str">
        <x:v>stratified_sample_T08</x:v>
      </x:c>
      <x:c r="K259" s="15" t="str">
        <x:v>pass_automated_T06</x:v>
      </x:c>
      <x:c r="L259" s="15" t="str">
        <x:v>none</x:v>
      </x:c>
      <x:c r="M259" s="15" t="str">
        <x:v>none</x:v>
      </x:c>
      <x:c r="N259" s="15" t="str">
        <x:v>conserve_source_technical_candidate</x:v>
      </x:c>
      <x:c r="O259" s="15" t="str">
        <x:v>source_exact_normalized_supported_pending_human</x:v>
      </x:c>
      <x:c r="P259" s="15" t="str">
        <x:v>stratified_human_confirmation</x:v>
      </x:c>
      <x:c r="Q259" s="15" t="str">
        <x:v>The train is on time.</x:v>
      </x:c>
      <x:c r="R259" s="15" t="str">
        <x:v>The train is on time.</x:v>
      </x:c>
      <x:c r="S259" s="15" t="str">
        <x:v>none</x:v>
      </x:c>
      <x:c r="T259" s="15" t="str">
        <x:v>source_contract_preserved_subject_to_T08</x:v>
      </x:c>
      <x:c r="U259" s="15" t="str">
        <x:v>A_linguistic_conserve_candidate</x:v>
      </x:c>
      <x:c r="V259" s="16" t="str">
        <x:v>not_started</x:v>
      </x:c>
      <x:c r="W259" s="16"/>
      <x:c r="X259" s="16"/>
      <x:c r="Y259" s="16"/>
      <x:c r="Z259" s="16"/>
      <x:c r="AA259" s="16"/>
      <x:c r="AB259" s="16"/>
      <x:c r="AC259" s="16"/>
      <x:c r="AD259" s="16"/>
      <x:c r="AE259" s="16"/>
      <x:c r="AF259" s="16"/>
      <x:c r="AG259" s="16"/>
      <x:c r="AH259" s="16"/>
      <x:c r="AI259" s="16"/>
      <x:c r="AJ259" s="16"/>
      <x:c r="AK259" s="16"/>
      <x:c r="AL259" s="16"/>
      <x:c r="AM259" s="16"/>
      <x:c r="AN259" s="16"/>
      <x:c r="AO259" s="16"/>
      <x:c r="AP259" s="16"/>
      <x:c r="AQ259" s="16"/>
      <x:c r="AR259" s="16"/>
      <x:c r="AS259" s="16"/>
      <x:c r="AT259" s="20"/>
      <x:c r="AU259" s="16"/>
      <x:c r="AV259" s="16"/>
      <x:c r="AW259" s="16" t="str">
        <x:v>pending</x:v>
      </x:c>
      <x:c r="AX259" s="17" t="str">
        <x:v>blocked_not_validated</x:v>
      </x:c>
      <x:c r="AY259" s="18" t="str">
        <x:f>IF(OR(C259="yes",X259="corrected",COUNTIF(Z259:AL259,"major")&gt;0,COUNTIF(Z259:AL259,"blocker")&gt;0,OR(AO259="repair",AO259="segment",AO259="replace",AO259="block")),"yes","no")</x:f>
        <x:v>no</x:v>
      </x:c>
      <x:c r="AZ259" s="18" t="str">
        <x:f>IF(AND(V259="reviewed",W259&gt;=1,X259&lt;&gt;"",Y259&lt;&gt;"",COUNTA(Z259:AL259)=13,AM259&lt;&gt;"",AN259&lt;&gt;"",AO259&lt;&gt;"",AP259&lt;&gt;"",AQ259&lt;&gt;"",AR259&lt;&gt;"",AS259="I_listened_at_1x_and_completed_all_required_fields",AT259&lt;&gt;"",AW259="adjudicated",OR(AY259="no",AND(AU259&lt;&gt;"",AV259&lt;&gt;""))),"complete","incomplete")</x:f>
        <x:v>incomplete</x:v>
      </x:c>
      <x:c r="BA259" s="18" t="str">
        <x:f>IF(AZ259="complete","none","faltan campos humanos, adjudicación o segunda revisión")</x:f>
        <x:v>faltan campos humanos, adjudicación o segunda revisión</x:v>
      </x:c>
    </x:row>
    <x:row r="260" ht="36" customHeight="1">
      <x:c r="A260" s="15" t="n">
        <x:v>259</x:v>
      </x:c>
      <x:c r="B260" s="15" t="str">
        <x:v>P3-SAMPLE</x:v>
      </x:c>
      <x:c r="C260" s="15" t="str">
        <x:v>no</x:v>
      </x:c>
      <x:c r="D260" s="15" t="str">
        <x:v>asset:toefl:set-20:part-12:repeat-4</x:v>
      </x:c>
      <x:c r="E260" s="15" t="str">
        <x:v>set-20</x:v>
      </x:c>
      <x:c r="F260" s="15" t="str">
        <x:v>Listen and Repeat</x:v>
      </x:c>
      <x:c r="G260" s="15" t="str">
        <x:v>/Users/josedavidduartesilva/Developer/idiomaswl/public/audio/toefl/set-20/repeat-4.mp3</x:v>
      </x:c>
      <x:c r="H260" s="19" t="n">
        <x:v>5.06</x:v>
      </x:c>
      <x:c r="I260" s="15" t="str">
        <x:v>P3</x:v>
      </x:c>
      <x:c r="J260" s="15" t="str">
        <x:v>stratified_sample_T08</x:v>
      </x:c>
      <x:c r="K260" s="15" t="str">
        <x:v>pass_automated_T06</x:v>
      </x:c>
      <x:c r="L260" s="15" t="str">
        <x:v>none</x:v>
      </x:c>
      <x:c r="M260" s="15" t="str">
        <x:v>none</x:v>
      </x:c>
      <x:c r="N260" s="15" t="str">
        <x:v>conserve_source_technical_candidate</x:v>
      </x:c>
      <x:c r="O260" s="15" t="str">
        <x:v>source_exact_normalized_supported_pending_human</x:v>
      </x:c>
      <x:c r="P260" s="15" t="str">
        <x:v>stratified_human_confirmation</x:v>
      </x:c>
      <x:c r="Q260" s="15" t="str">
        <x:v>The report concluded that the city needed more affordable housing for young families.</x:v>
      </x:c>
      <x:c r="R260" s="15" t="str">
        <x:v>The report concluded that the city needed more affordable housing for young families.</x:v>
      </x:c>
      <x:c r="S260" s="15" t="str">
        <x:v>none</x:v>
      </x:c>
      <x:c r="T260" s="15" t="str">
        <x:v>source_contract_preserved_subject_to_T08</x:v>
      </x:c>
      <x:c r="U260" s="15" t="str">
        <x:v>A_linguistic_conserve_candidate</x:v>
      </x:c>
      <x:c r="V260" s="16" t="str">
        <x:v>not_started</x:v>
      </x:c>
      <x:c r="W260" s="16"/>
      <x:c r="X260" s="16"/>
      <x:c r="Y260" s="16"/>
      <x:c r="Z260" s="16"/>
      <x:c r="AA260" s="16"/>
      <x:c r="AB260" s="16"/>
      <x:c r="AC260" s="16"/>
      <x:c r="AD260" s="16"/>
      <x:c r="AE260" s="16"/>
      <x:c r="AF260" s="16"/>
      <x:c r="AG260" s="16"/>
      <x:c r="AH260" s="16"/>
      <x:c r="AI260" s="16"/>
      <x:c r="AJ260" s="16"/>
      <x:c r="AK260" s="16"/>
      <x:c r="AL260" s="16"/>
      <x:c r="AM260" s="16"/>
      <x:c r="AN260" s="16"/>
      <x:c r="AO260" s="16"/>
      <x:c r="AP260" s="16"/>
      <x:c r="AQ260" s="16"/>
      <x:c r="AR260" s="16"/>
      <x:c r="AS260" s="16"/>
      <x:c r="AT260" s="20"/>
      <x:c r="AU260" s="16"/>
      <x:c r="AV260" s="16"/>
      <x:c r="AW260" s="16" t="str">
        <x:v>pending</x:v>
      </x:c>
      <x:c r="AX260" s="17" t="str">
        <x:v>blocked_not_validated</x:v>
      </x:c>
      <x:c r="AY260" s="18" t="str">
        <x:f>IF(OR(C260="yes",X260="corrected",COUNTIF(Z260:AL260,"major")&gt;0,COUNTIF(Z260:AL260,"blocker")&gt;0,OR(AO260="repair",AO260="segment",AO260="replace",AO260="block")),"yes","no")</x:f>
        <x:v>no</x:v>
      </x:c>
      <x:c r="AZ260" s="18" t="str">
        <x:f>IF(AND(V260="reviewed",W260&gt;=1,X260&lt;&gt;"",Y260&lt;&gt;"",COUNTA(Z260:AL260)=13,AM260&lt;&gt;"",AN260&lt;&gt;"",AO260&lt;&gt;"",AP260&lt;&gt;"",AQ260&lt;&gt;"",AR260&lt;&gt;"",AS260="I_listened_at_1x_and_completed_all_required_fields",AT260&lt;&gt;"",AW260="adjudicated",OR(AY260="no",AND(AU260&lt;&gt;"",AV260&lt;&gt;""))),"complete","incomplete")</x:f>
        <x:v>incomplete</x:v>
      </x:c>
      <x:c r="BA260" s="18" t="str">
        <x:f>IF(AZ260="complete","none","faltan campos humanos, adjudicación o segunda revisión")</x:f>
        <x:v>faltan campos humanos, adjudicación o segunda revisión</x:v>
      </x:c>
    </x:row>
    <x:row r="261" ht="36" customHeight="1">
      <x:c r="A261" s="15" t="n">
        <x:v>260</x:v>
      </x:c>
      <x:c r="B261" s="15" t="str">
        <x:v>P3-SAMPLE</x:v>
      </x:c>
      <x:c r="C261" s="15" t="str">
        <x:v>no</x:v>
      </x:c>
      <x:c r="D261" s="15" t="str">
        <x:v>asset:toefl:set-20:part-12:repeat-5</x:v>
      </x:c>
      <x:c r="E261" s="15" t="str">
        <x:v>set-20</x:v>
      </x:c>
      <x:c r="F261" s="15" t="str">
        <x:v>Listen and Repeat</x:v>
      </x:c>
      <x:c r="G261" s="15" t="str">
        <x:v>/Users/josedavidduartesilva/Developer/idiomaswl/public/audio/toefl/set-20/repeat-5.mp3</x:v>
      </x:c>
      <x:c r="H261" s="19" t="n">
        <x:v>6.02</x:v>
      </x:c>
      <x:c r="I261" s="15" t="str">
        <x:v>P3</x:v>
      </x:c>
      <x:c r="J261" s="15" t="str">
        <x:v>stratified_sample_T08</x:v>
      </x:c>
      <x:c r="K261" s="15" t="str">
        <x:v>pass_with_actionable_warning</x:v>
      </x:c>
      <x:c r="L261" s="15" t="str">
        <x:v>none</x:v>
      </x:c>
      <x:c r="M261" s="15" t="str">
        <x:v>TECH-LDN-003</x:v>
      </x:c>
      <x:c r="N261" s="15" t="str">
        <x:v>review_warning_in_T08_before_conserve</x:v>
      </x:c>
      <x:c r="O261" s="15" t="str">
        <x:v>source_exact_normalized_supported_pending_human</x:v>
      </x:c>
      <x:c r="P261" s="15" t="str">
        <x:v>stratified_human_confirmation</x:v>
      </x:c>
      <x:c r="Q261" s="15" t="str">
        <x:v>Although the first design had several problems, the team improved it until it met all the requirements.</x:v>
      </x:c>
      <x:c r="R261" s="15" t="str">
        <x:v>Although the first design had several problems, the team improved it until it met all the requirements.</x:v>
      </x:c>
      <x:c r="S261" s="15" t="str">
        <x:v>none</x:v>
      </x:c>
      <x:c r="T261" s="15" t="str">
        <x:v>source_contract_preserved_subject_to_T08</x:v>
      </x:c>
      <x:c r="U261" s="15" t="str">
        <x:v>A_linguistic_conserve_candidate</x:v>
      </x:c>
      <x:c r="V261" s="16" t="str">
        <x:v>not_started</x:v>
      </x:c>
      <x:c r="W261" s="16"/>
      <x:c r="X261" s="16"/>
      <x:c r="Y261" s="16"/>
      <x:c r="Z261" s="16"/>
      <x:c r="AA261" s="16"/>
      <x:c r="AB261" s="16"/>
      <x:c r="AC261" s="16"/>
      <x:c r="AD261" s="16"/>
      <x:c r="AE261" s="16"/>
      <x:c r="AF261" s="16"/>
      <x:c r="AG261" s="16"/>
      <x:c r="AH261" s="16"/>
      <x:c r="AI261" s="16"/>
      <x:c r="AJ261" s="16"/>
      <x:c r="AK261" s="16"/>
      <x:c r="AL261" s="16"/>
      <x:c r="AM261" s="16"/>
      <x:c r="AN261" s="16"/>
      <x:c r="AO261" s="16"/>
      <x:c r="AP261" s="16"/>
      <x:c r="AQ261" s="16"/>
      <x:c r="AR261" s="16"/>
      <x:c r="AS261" s="16"/>
      <x:c r="AT261" s="20"/>
      <x:c r="AU261" s="16"/>
      <x:c r="AV261" s="16"/>
      <x:c r="AW261" s="16" t="str">
        <x:v>pending</x:v>
      </x:c>
      <x:c r="AX261" s="17" t="str">
        <x:v>blocked_not_validated</x:v>
      </x:c>
      <x:c r="AY261" s="18" t="str">
        <x:f>IF(OR(C261="yes",X261="corrected",COUNTIF(Z261:AL261,"major")&gt;0,COUNTIF(Z261:AL261,"blocker")&gt;0,OR(AO261="repair",AO261="segment",AO261="replace",AO261="block")),"yes","no")</x:f>
        <x:v>no</x:v>
      </x:c>
      <x:c r="AZ261" s="18" t="str">
        <x:f>IF(AND(V261="reviewed",W261&gt;=1,X261&lt;&gt;"",Y261&lt;&gt;"",COUNTA(Z261:AL261)=13,AM261&lt;&gt;"",AN261&lt;&gt;"",AO261&lt;&gt;"",AP261&lt;&gt;"",AQ261&lt;&gt;"",AR261&lt;&gt;"",AS261="I_listened_at_1x_and_completed_all_required_fields",AT261&lt;&gt;"",AW261="adjudicated",OR(AY261="no",AND(AU261&lt;&gt;"",AV261&lt;&gt;""))),"complete","incomplete")</x:f>
        <x:v>incomplete</x:v>
      </x:c>
      <x:c r="BA261" s="18" t="str">
        <x:f>IF(AZ261="complete","none","faltan campos humanos, adjudicación o segunda revisión")</x:f>
        <x:v>faltan campos humanos, adjudicación o segunda revisión</x:v>
      </x:c>
    </x:row>
  </x:sheetData>
  <x:conditionalFormatting sqref="I2:I261">
    <x:cfRule type="containsText" dxfId="0" priority="1" operator="containsText" text="P1"/>
    <x:cfRule type="containsText" dxfId="1" priority="2" operator="containsText" text="P2"/>
    <x:cfRule type="containsText" dxfId="2" priority="3" operator="containsText" text="P3"/>
  </x:conditionalFormatting>
  <x:conditionalFormatting sqref="AZ2:AZ261">
    <x:cfRule type="expression" dxfId="3" priority="4">
      <x:formula>$AZ2="complete"</x:formula>
    </x:cfRule>
    <x:cfRule type="expression" dxfId="4" priority="5">
      <x:formula>$AZ2="incomplete"</x:formula>
    </x:cfRule>
  </x:conditionalFormatting>
  <x:conditionalFormatting sqref="AO2:AO261">
    <x:cfRule type="containsText" dxfId="5" priority="6" operator="containsText" text="approve"/>
    <x:cfRule type="containsText" dxfId="6" priority="7" operator="containsText" text="replace"/>
    <x:cfRule type="containsText" dxfId="7" priority="8" operator="containsText" text="block"/>
  </x:conditionalFormatting>
  <x:dataValidations count="10">
    <x:dataValidation type="list" sqref="V2:V261">
      <x:formula1>"not_started,in_progress,reviewed"</x:formula1>
    </x:dataValidation>
    <x:dataValidation type="whole" operator="between" sqref="W2:W261">
      <x:formula1>1</x:formula1>
      <x:formula2>10</x:formula2>
    </x:dataValidation>
    <x:dataValidation type="list" sqref="X2:X261">
      <x:formula1>"source_approved,asr_approved,corrected,cannot_adjudicate"</x:formula1>
    </x:dataValidation>
    <x:dataValidation type="list" sqref="Z2:AL261">
      <x:formula1>"pass,minor,major,blocker,not_applicable"</x:formula1>
    </x:dataValidation>
    <x:dataValidation type="list" sqref="AN2:AN261">
      <x:formula1>"A,B,C,D"</x:formula1>
    </x:dataValidation>
    <x:dataValidation type="list" sqref="AO2:AO261">
      <x:formula1>"approve,approve_with_note,repair,segment,replace,block"</x:formula1>
    </x:dataValidation>
    <x:dataValidation type="list" sqref="AR2:AR261">
      <x:formula1>"TOEFL_expert,English_editor,academic_director,audio_QA_reviewer"</x:formula1>
    </x:dataValidation>
    <x:dataValidation type="list" sqref="AS2:AS261">
      <x:formula1>"I_listened_at_1x_and_completed_all_required_fields"</x:formula1>
    </x:dataValidation>
    <x:dataValidation type="list" sqref="AV2:AV261">
      <x:formula1>"confirm,overturn"</x:formula1>
    </x:dataValidation>
    <x:dataValidation type="list" sqref="AW2:AW261">
      <x:formula1>"pending,needs_second_review,adjudicated,disputed"</x:formula1>
    </x:dataValidation>
  </x:dataValidations>
  <x:pageMargins left="0.7" right="0.7" top="0.75" bottom="0.75" header="0.3" footer="0.3"/>
  <x:tableParts count="1">
    <x:tablePart xmlns:r="http://schemas.openxmlformats.org/officeDocument/2006/relationships" r:id="R1f053b35a1d5411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20" hidden="0" customWidth="1"/>
    <x:col min="3" max="3" width="67" hidden="0" customWidth="1"/>
    <x:col min="4" max="4" width="43" hidden="0" customWidth="1"/>
    <x:col min="5" max="5" width="43" hidden="0" customWidth="1"/>
  </x:cols>
  <x:sheetData>
    <x:row r="1">
      <x:c r="A1" s="42" t="str">
        <x:v>T08 — reglas de escucha, severidad y aceptación</x:v>
      </x:c>
      <x:c r="B1" s="42" t="str">
        <x:v>T08 — reglas de escucha, severidad y aceptación</x:v>
      </x:c>
      <x:c r="C1" s="42" t="str">
        <x:v>T08 — reglas de escucha, severidad y aceptación</x:v>
      </x:c>
      <x:c r="D1" s="42" t="str">
        <x:v>T08 — reglas de escucha, severidad y aceptación</x:v>
      </x:c>
      <x:c r="E1" s="42" t="str">
        <x:v>T08 — reglas de escucha, severidad y aceptación</x:v>
      </x:c>
    </x:row>
    <x:row r="2">
      <x:c r="A2" s="42" t="str">
        <x:v>T08 — reglas de escucha, severidad y aceptación</x:v>
      </x:c>
      <x:c r="B2" s="42" t="str">
        <x:v>T08 — reglas de escucha, severidad y aceptación</x:v>
      </x:c>
      <x:c r="C2" s="42" t="str">
        <x:v>T08 — reglas de escucha, severidad y aceptación</x:v>
      </x:c>
      <x:c r="D2" s="42" t="str">
        <x:v>T08 — reglas de escucha, severidad y aceptación</x:v>
      </x:c>
      <x:c r="E2" s="42" t="str">
        <x:v>T08 — reglas de escucha, severidad y aceptación</x:v>
      </x:c>
    </x:row>
    <x:row r="4">
      <x:c r="A4" s="9" t="str">
        <x:v>rule_id</x:v>
      </x:c>
      <x:c r="B4" s="10" t="str">
        <x:v>dimensión</x:v>
      </x:c>
      <x:c r="C4" s="10" t="str">
        <x:v>regla</x:v>
      </x:c>
      <x:c r="D4" s="10" t="str">
        <x:v>evidencia requerida</x:v>
      </x:c>
      <x:c r="E4" s="11" t="str">
        <x:v>stop/acción</x:v>
      </x:c>
    </x:row>
    <x:row r="5" ht="48" customHeight="1">
      <x:c r="A5" s="45" t="str">
        <x:v>HUM-001</x:v>
      </x:c>
      <x:c r="B5" s="45" t="str">
        <x:v>Autoridad</x:v>
      </x:c>
      <x:c r="C5" s="45" t="str">
        <x:v>La persona escucha el MP3 a 1×; ASR nunca aprueba ni completa campos humanos.</x:v>
      </x:c>
      <x:c r="D5" s="45" t="str">
        <x:v>Attestation + reviewer + fecha</x:v>
      </x:c>
      <x:c r="E5" s="45" t="str">
        <x:v>Sin attestation la fila queda incompleta</x:v>
      </x:c>
    </x:row>
    <x:row r="6" ht="48" customHeight="1">
      <x:c r="A6" s="45" t="str">
        <x:v>HUM-002</x:v>
      </x:c>
      <x:c r="B6" s="45" t="str">
        <x:v>Calibración</x:v>
      </x:c>
      <x:c r="C6" s="45" t="str">
        <x:v>CAL-01 contiene 20 assets, cubre cinco familias y exige dos revisores.</x:v>
      </x:c>
      <x:c r="D6" s="45" t="str">
        <x:v>20/20 completos + segunda revisión</x:v>
      </x:c>
      <x:c r="E6" s="45" t="str">
        <x:v>No abrir el lote si hay disputa</x:v>
      </x:c>
    </x:row>
    <x:row r="7" ht="48" customHeight="1">
      <x:c r="A7" s="45" t="str">
        <x:v>HUM-003</x:v>
      </x:c>
      <x:c r="B7" s="45" t="str">
        <x:v>Cobertura</x:v>
      </x:c>
      <x:c r="C7" s="45" t="str">
        <x:v>P1=170 y P2=24 se escuchan al 100 %; P3=66 es la muestra estratificada fijada y también se escucha completa.</x:v>
      </x:c>
      <x:c r="D7" s="45" t="str">
        <x:v>260 filas completas</x:v>
      </x:c>
      <x:c r="E7" s="45" t="str">
        <x:v>No reducir muestra ni umbral</x:v>
      </x:c>
    </x:row>
    <x:row r="8" ht="48" customHeight="1">
      <x:c r="A8" s="45" t="str">
        <x:v>HUM-004</x:v>
      </x:c>
      <x:c r="B8" s="45" t="str">
        <x:v>Canon</x:v>
      </x:c>
      <x:c r="C8" s="45" t="str">
        <x:v>Registrar lo realmente pronunciado; mantener speaker labels cuando haya varios roles.</x:v>
      </x:c>
      <x:c r="D8" s="45" t="str">
        <x:v>canonical_transcript + transcript_decision</x:v>
      </x:c>
      <x:c r="E8" s="45" t="str">
        <x:v>Cannot_adjudicate bloquea</x:v>
      </x:c>
    </x:row>
    <x:row r="9" ht="48" customHeight="1">
      <x:c r="A9" s="45" t="str">
        <x:v>HUM-005</x:v>
      </x:c>
      <x:c r="B9" s="45" t="str">
        <x:v>Claridad</x:v>
      </x:c>
      <x:c r="C9" s="45" t="str">
        <x:v>Pass sólo si todo el contenido crítico es inteligible sin inferirlo desde el texto.</x:v>
      </x:c>
      <x:c r="D9" s="45" t="str">
        <x:v>Rating + finding si no pass</x:v>
      </x:c>
      <x:c r="E9" s="45" t="str">
        <x:v>Major/blocker exige segunda revisión</x:v>
      </x:c>
    </x:row>
    <x:row r="10" ht="48" customHeight="1">
      <x:c r="A10" s="45" t="str">
        <x:v>HUM-006</x:v>
      </x:c>
      <x:c r="B10" s="45" t="str">
        <x:v>Naturalidad</x:v>
      </x:c>
      <x:c r="C10" s="45" t="str">
        <x:v>Evaluar lenguaje, énfasis y entonación como habla competente, no sólo corrección gramatical.</x:v>
      </x:c>
      <x:c r="D10" s="45" t="str">
        <x:v>Rating + justificación</x:v>
      </x:c>
      <x:c r="E10" s="45" t="str">
        <x:v>Caricatura o habla artificial material bloquea</x:v>
      </x:c>
    </x:row>
    <x:row r="11" ht="48" customHeight="1">
      <x:c r="A11" s="45" t="str">
        <x:v>HUM-007</x:v>
      </x:c>
      <x:c r="B11" s="45" t="str">
        <x:v>Prosodia</x:v>
      </x:c>
      <x:c r="C11" s="45" t="str">
        <x:v>Verificar pausas, acento léxico, fraseo y final de enunciado adecuados a la tarea.</x:v>
      </x:c>
      <x:c r="D11" s="45" t="str">
        <x:v>Rating</x:v>
      </x:c>
      <x:c r="E11" s="45" t="str">
        <x:v>Major/blocker exige reparación o reemplazo</x:v>
      </x:c>
    </x:row>
    <x:row r="12" ht="48" customHeight="1">
      <x:c r="A12" s="45" t="str">
        <x:v>HUM-008</x:v>
      </x:c>
      <x:c r="B12" s="45" t="str">
        <x:v>Pronunciación</x:v>
      </x:c>
      <x:c r="C12" s="45" t="str">
        <x:v>Nombres, cifras, negaciones y términos académicos deben coincidir con el canon.</x:v>
      </x:c>
      <x:c r="D12" s="45" t="str">
        <x:v>Canon + rating</x:v>
      </x:c>
      <x:c r="E12" s="45" t="str">
        <x:v>Contradicción crítica bloquea</x:v>
      </x:c>
    </x:row>
    <x:row r="13" ht="48" customHeight="1">
      <x:c r="A13" s="45" t="str">
        <x:v>HUM-009</x:v>
      </x:c>
      <x:c r="B13" s="45" t="str">
        <x:v>Voces</x:v>
      </x:c>
      <x:c r="C13" s="45" t="str">
        <x:v>Roles y cambios de hablante deben ser coherentes; no inferir identidad real del proveedor.</x:v>
      </x:c>
      <x:c r="D13" s="45" t="str">
        <x:v>Rating + observación</x:v>
      </x:c>
      <x:c r="E13" s="45" t="str">
        <x:v>Deriva material exige variante</x:v>
      </x:c>
    </x:row>
    <x:row r="14" ht="48" customHeight="1">
      <x:c r="A14" s="45" t="str">
        <x:v>HUM-010</x:v>
      </x:c>
      <x:c r="B14" s="45" t="str">
        <x:v>Artefactos</x:v>
      </x:c>
      <x:c r="C14" s="45" t="str">
        <x:v>Registrar glitches, cortes, clonación inestable, ruidos o finales abruptos percibidos.</x:v>
      </x:c>
      <x:c r="D14" s="45" t="str">
        <x:v>Rating + finding</x:v>
      </x:c>
      <x:c r="E14" s="45" t="str">
        <x:v>Blocker detiene el batch de familia</x:v>
      </x:c>
    </x:row>
    <x:row r="15" ht="48" customHeight="1">
      <x:c r="A15" s="45" t="str">
        <x:v>HUM-011</x:v>
      </x:c>
      <x:c r="B15" s="45" t="str">
        <x:v>Tarea</x:v>
      </x:c>
      <x:c r="C15" s="45" t="str">
        <x:v>El audio debe ser idóneo para L-001–L-004/S-001; longitud larga no se aprueba por sí sola.</x:v>
      </x:c>
      <x:c r="D15" s="45" t="str">
        <x:v>difficulty_fit + task_fit</x:v>
      </x:c>
      <x:c r="E15" s="45" t="str">
        <x:v>Segmentar sólo preservando el original</x:v>
      </x:c>
    </x:row>
    <x:row r="16" ht="48" customHeight="1">
      <x:c r="A16" s="45" t="str">
        <x:v>HUM-012</x:v>
      </x:c>
      <x:c r="B16" s="45" t="str">
        <x:v>Sesgo</x:v>
      </x:c>
      <x:c r="C16" s="45" t="str">
        <x:v>Revisar acento inteligible sin caricatura, estereotipos y dependencia cultural evitable.</x:v>
      </x:c>
      <x:c r="D16" s="45" t="str">
        <x:v>accent + bias ratings</x:v>
      </x:c>
      <x:c r="E16" s="45" t="str">
        <x:v>Daño/estereotipo material bloquea</x:v>
      </x:c>
    </x:row>
    <x:row r="17" ht="48" customHeight="1">
      <x:c r="A17" s="45" t="str">
        <x:v>HUM-013</x:v>
      </x:c>
      <x:c r="B17" s="45" t="str">
        <x:v>Derechos</x:v>
      </x:c>
      <x:c r="C17" s="45" t="str">
        <x:v>La escucha no demuestra licencia; anotar cualquier señal de material externo o voz no autorizada.</x:v>
      </x:c>
      <x:c r="D17" s="45" t="str">
        <x:v>rights_observation</x:v>
      </x:c>
      <x:c r="E17" s="45" t="str">
        <x:v>Duda de derechos mantiene bloqueo</x:v>
      </x:c>
    </x:row>
    <x:row r="18" ht="48" customHeight="1">
      <x:c r="A18" s="45" t="str">
        <x:v>HUM-014</x:v>
      </x:c>
      <x:c r="B18" s="45" t="str">
        <x:v>Clase A</x:v>
      </x:c>
      <x:c r="C18" s="45" t="str">
        <x:v>A requiere audio lingüísticamente apto, canon adjudicado y ningún fallo técnico accionable sin resolver.</x:v>
      </x:c>
      <x:c r="D18" s="45" t="str">
        <x:v>reuse_class=A + justificación</x:v>
      </x:c>
      <x:c r="E18" s="45" t="str">
        <x:v>T06 fail impide A</x:v>
      </x:c>
    </x:row>
    <x:row r="19" ht="48" customHeight="1">
      <x:c r="A19" s="45" t="str">
        <x:v>HUM-015</x:v>
      </x:c>
      <x:c r="B19" s="45" t="str">
        <x:v>Clase B</x:v>
      </x:c>
      <x:c r="C19" s="45" t="str">
        <x:v>B conserva el original y define reparación o nueva variante trazable.</x:v>
      </x:c>
      <x:c r="D19" s="45" t="str">
        <x:v>decision=repair</x:v>
      </x:c>
      <x:c r="E19" s="45" t="str">
        <x:v>Nunca overwrite</x:v>
      </x:c>
    </x:row>
    <x:row r="20" ht="48" customHeight="1">
      <x:c r="A20" s="45" t="str">
        <x:v>HUM-016</x:v>
      </x:c>
      <x:c r="B20" s="45" t="str">
        <x:v>Clase C</x:v>
      </x:c>
      <x:c r="C20" s="45" t="str">
        <x:v>C conserva el original y propone segmentar/reencuadrar con contexto suficiente.</x:v>
      </x:c>
      <x:c r="D20" s="45" t="str">
        <x:v>decision=segment</x:v>
      </x:c>
      <x:c r="E20" s="45" t="str">
        <x:v>T15 decide derivados</x:v>
      </x:c>
    </x:row>
    <x:row r="21" ht="48" customHeight="1">
      <x:c r="A21" s="45" t="str">
        <x:v>HUM-017</x:v>
      </x:c>
      <x:c r="B21" s="45" t="str">
        <x:v>Clase D</x:v>
      </x:c>
      <x:c r="C21" s="45" t="str">
        <x:v>D reemplaza sólo cuando el activo falla materialmente y no es reparable.</x:v>
      </x:c>
      <x:c r="D21" s="45" t="str">
        <x:v>decision=replace + segundo revisor</x:v>
      </x:c>
      <x:c r="E21" s="45" t="str">
        <x:v>No generar antes de T20/T21</x:v>
      </x:c>
    </x:row>
    <x:row r="22" ht="48" customHeight="1">
      <x:c r="A22" s="45" t="str">
        <x:v>HUM-018</x:v>
      </x:c>
      <x:c r="B22" s="45" t="str">
        <x:v>Segunda revisión</x:v>
      </x:c>
      <x:c r="C22" s="45" t="str">
        <x:v>CAL-01, canon corregido, cualquier major/blocker y decisiones B/C/D requieren segundo revisor.</x:v>
      </x:c>
      <x:c r="D22" s="45" t="str">
        <x:v>second_reviewer + confirm/overturn</x:v>
      </x:c>
      <x:c r="E22" s="45" t="str">
        <x:v>Disputa requiere adjudicación</x:v>
      </x:c>
    </x:row>
    <x:row r="23" ht="48" customHeight="1">
      <x:c r="A23" s="45" t="str">
        <x:v>HUM-019</x:v>
      </x:c>
      <x:c r="B23" s="45" t="str">
        <x:v>Batch</x:v>
      </x:c>
      <x:c r="C23" s="45" t="str">
        <x:v>Tres fallos major/blocker del mismo patrón detienen la familia para revisar regla y causa.</x:v>
      </x:c>
      <x:c r="D23" s="45" t="str">
        <x:v>finding IDs coherentes</x:v>
      </x:c>
      <x:c r="E23" s="45" t="str">
        <x:v>Stop de familia; no procesar a ciegas</x:v>
      </x:c>
    </x:row>
    <x:row r="24" ht="48" customHeight="1">
      <x:c r="A24" s="45" t="str">
        <x:v>HUM-020</x:v>
      </x:c>
      <x:c r="B24" s="45" t="str">
        <x:v>Release</x:v>
      </x:c>
      <x:c r="C24" s="45" t="str">
        <x:v>T08 clasifica, no publica. Todos los assets conservan blocked_not_validated.</x:v>
      </x:c>
      <x:c r="D24" s="45" t="str">
        <x:v>release_status fijo</x:v>
      </x:c>
      <x:c r="E24" s="45" t="str">
        <x:v>No commit/push/deploy/generación</x:v>
      </x:c>
    </x:row>
  </x:sheetData>
  <x:mergeCells>
    <x:mergeCell ref="A1:E2"/>
  </x:mergeCells>
  <x:pageMargins left="0.7" right="0.7" top="0.75" bottom="0.75" header="0.3" footer="0.3"/>
  <x:tableParts count="1">
    <x:tablePart xmlns:r="http://schemas.openxmlformats.org/officeDocument/2006/relationships" r:id="R7d3dafacf39e432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s>
  <x:sheetData>
    <x:row r="1">
      <x:c r="A1" s="9" t="str">
        <x:v>listen_status</x:v>
      </x:c>
      <x:c r="B1" s="10" t="str">
        <x:v>rating</x:v>
      </x:c>
      <x:c r="C1" s="10" t="str">
        <x:v>transcript_decision</x:v>
      </x:c>
      <x:c r="D1" s="10" t="str">
        <x:v>reuse_class</x:v>
      </x:c>
      <x:c r="E1" s="10" t="str">
        <x:v>human_decision</x:v>
      </x:c>
      <x:c r="F1" s="10" t="str">
        <x:v>reviewer_role</x:v>
      </x:c>
      <x:c r="G1" s="10" t="str">
        <x:v>second_review_decision</x:v>
      </x:c>
      <x:c r="H1" s="11" t="str">
        <x:v>adjudication_status</x:v>
      </x:c>
    </x:row>
    <x:row r="2">
      <x:c r="A2" s="47" t="str">
        <x:v>not_started</x:v>
      </x:c>
      <x:c r="B2" s="47" t="str">
        <x:v>pass</x:v>
      </x:c>
      <x:c r="C2" s="47" t="str">
        <x:v>source_approved</x:v>
      </x:c>
      <x:c r="D2" s="47" t="str">
        <x:v>A</x:v>
      </x:c>
      <x:c r="E2" s="47" t="str">
        <x:v>approve</x:v>
      </x:c>
      <x:c r="F2" s="47" t="str">
        <x:v>TOEFL_expert</x:v>
      </x:c>
      <x:c r="G2" s="47" t="str">
        <x:v>confirm</x:v>
      </x:c>
      <x:c r="H2" s="47" t="str">
        <x:v>pending</x:v>
      </x:c>
    </x:row>
    <x:row r="3">
      <x:c r="A3" s="47" t="str">
        <x:v>in_progress</x:v>
      </x:c>
      <x:c r="B3" s="47" t="str">
        <x:v>minor</x:v>
      </x:c>
      <x:c r="C3" s="47" t="str">
        <x:v>asr_approved</x:v>
      </x:c>
      <x:c r="D3" s="47" t="str">
        <x:v>B</x:v>
      </x:c>
      <x:c r="E3" s="47" t="str">
        <x:v>approve_with_note</x:v>
      </x:c>
      <x:c r="F3" s="47" t="str">
        <x:v>English_editor</x:v>
      </x:c>
      <x:c r="G3" s="47" t="str">
        <x:v>overturn</x:v>
      </x:c>
      <x:c r="H3" s="47" t="str">
        <x:v>needs_second_review</x:v>
      </x:c>
    </x:row>
    <x:row r="4">
      <x:c r="A4" s="47" t="str">
        <x:v>reviewed</x:v>
      </x:c>
      <x:c r="B4" s="47" t="str">
        <x:v>major</x:v>
      </x:c>
      <x:c r="C4" s="47" t="str">
        <x:v>corrected</x:v>
      </x:c>
      <x:c r="D4" s="47" t="str">
        <x:v>C</x:v>
      </x:c>
      <x:c r="E4" s="47" t="str">
        <x:v>repair</x:v>
      </x:c>
      <x:c r="F4" s="47" t="str">
        <x:v>academic_director</x:v>
      </x:c>
      <x:c r="G4" s="47" t="str"/>
      <x:c r="H4" s="47" t="str">
        <x:v>adjudicated</x:v>
      </x:c>
    </x:row>
    <x:row r="5">
      <x:c r="A5" s="47" t="str"/>
      <x:c r="B5" s="47" t="str">
        <x:v>blocker</x:v>
      </x:c>
      <x:c r="C5" s="47" t="str">
        <x:v>cannot_adjudicate</x:v>
      </x:c>
      <x:c r="D5" s="47" t="str">
        <x:v>D</x:v>
      </x:c>
      <x:c r="E5" s="47" t="str">
        <x:v>segment</x:v>
      </x:c>
      <x:c r="F5" s="47" t="str">
        <x:v>audio_QA_reviewer</x:v>
      </x:c>
      <x:c r="G5" s="47" t="str"/>
      <x:c r="H5" s="47" t="str">
        <x:v>disputed</x:v>
      </x:c>
    </x:row>
    <x:row r="6">
      <x:c r="A6" s="47" t="str"/>
      <x:c r="B6" s="47" t="str">
        <x:v>not_applicable</x:v>
      </x:c>
      <x:c r="C6" s="47" t="str"/>
      <x:c r="D6" s="47" t="str"/>
      <x:c r="E6" s="47" t="str">
        <x:v>replace</x:v>
      </x:c>
      <x:c r="F6" s="47" t="str"/>
      <x:c r="G6" s="47" t="str"/>
      <x:c r="H6" s="47" t="str"/>
    </x:row>
    <x:row r="7">
      <x:c r="A7" s="47" t="str"/>
      <x:c r="B7" s="47" t="str"/>
      <x:c r="C7" s="47" t="str"/>
      <x:c r="D7" s="47" t="str"/>
      <x:c r="E7" s="47" t="str">
        <x:v>block</x:v>
      </x:c>
      <x:c r="F7" s="47" t="str"/>
      <x:c r="G7" s="47" t="str"/>
      <x:c r="H7" s="47" t="str"/>
    </x:row>
  </x:sheetData>
  <x:pageMargins left="0.7" right="0.7" top="0.75" bottom="0.75" header="0.3" footer="0.3"/>
</x:worksheet>
</file>